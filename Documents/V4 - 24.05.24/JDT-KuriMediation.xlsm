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4 - 24.05.24\"/>
    </mc:Choice>
  </mc:AlternateContent>
  <xr:revisionPtr revIDLastSave="0" documentId="13_ncr:1_{5A45D6BE-B10E-49AA-8E7B-B49228E64826}"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Journal!$B$2:$G$194</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8" i="12"/>
  <c r="D9" i="12"/>
  <c r="D10" i="12"/>
  <c r="C24" i="12"/>
  <c r="D22" i="12"/>
  <c r="D21" i="12"/>
  <c r="C36" i="12"/>
  <c r="D34" i="12"/>
  <c r="D33" i="12"/>
  <c r="D32" i="12"/>
  <c r="D31" i="12"/>
  <c r="D30" i="12"/>
  <c r="D58" i="12"/>
  <c r="C48" i="12"/>
  <c r="D46" i="12"/>
  <c r="D45" i="12"/>
  <c r="C60" i="12"/>
  <c r="C72" i="12"/>
  <c r="D70" i="12"/>
  <c r="D69" i="12"/>
  <c r="D68" i="12"/>
  <c r="D67" i="12"/>
  <c r="D66" i="12"/>
  <c r="C84" i="12"/>
  <c r="C96" i="12"/>
  <c r="D94" i="12"/>
  <c r="D93" i="12"/>
  <c r="D92" i="12"/>
  <c r="C108" i="12"/>
  <c r="D106" i="12"/>
  <c r="D105" i="12"/>
  <c r="C121" i="12"/>
  <c r="D128" i="12"/>
  <c r="D129" i="12"/>
  <c r="D130" i="12"/>
  <c r="D131" i="12"/>
  <c r="C133" i="12"/>
  <c r="D189" i="12"/>
  <c r="D190" i="12"/>
  <c r="D191" i="12"/>
  <c r="D179" i="12"/>
  <c r="D178" i="12"/>
  <c r="D177" i="12"/>
  <c r="D176" i="12"/>
  <c r="D166" i="12"/>
  <c r="D167" i="12"/>
  <c r="C145" i="12"/>
  <c r="D143" i="12"/>
  <c r="D142" i="12"/>
  <c r="D141" i="12"/>
  <c r="C157" i="12"/>
  <c r="D155" i="12"/>
  <c r="D154" i="12"/>
  <c r="D153" i="12"/>
  <c r="D152" i="12"/>
  <c r="D151" i="12"/>
  <c r="D150" i="12"/>
  <c r="D11" i="12"/>
  <c r="D23" i="12"/>
  <c r="D20" i="12"/>
  <c r="D19" i="12"/>
  <c r="D5" i="12"/>
  <c r="D6" i="12"/>
  <c r="D7" i="12"/>
  <c r="D4" i="12"/>
  <c r="D12" i="12"/>
  <c r="D113" i="12"/>
  <c r="D107" i="12"/>
  <c r="D117" i="12"/>
  <c r="D162" i="12"/>
  <c r="D18" i="12"/>
  <c r="D17" i="12"/>
  <c r="D95" i="12"/>
  <c r="D187" i="12"/>
  <c r="D54" i="12"/>
  <c r="D81" i="12"/>
  <c r="D186" i="12"/>
  <c r="D126" i="12"/>
  <c r="D164" i="12"/>
  <c r="D132" i="12"/>
  <c r="D84" i="12"/>
  <c r="D16" i="12"/>
  <c r="D188" i="12"/>
  <c r="D133" i="12"/>
  <c r="D101" i="12"/>
  <c r="D140" i="12"/>
  <c r="D115" i="12"/>
  <c r="D35" i="12"/>
  <c r="D102" i="12"/>
  <c r="D36" i="12"/>
  <c r="D103" i="12"/>
  <c r="D40" i="12"/>
  <c r="D139" i="12"/>
  <c r="D24" i="12"/>
  <c r="D83" i="12"/>
  <c r="D65" i="12"/>
  <c r="D79" i="12"/>
  <c r="D60" i="12"/>
  <c r="D80" i="12"/>
  <c r="D116" i="12"/>
  <c r="D64" i="12"/>
  <c r="D43" i="12"/>
  <c r="D77" i="12"/>
  <c r="D168" i="12"/>
  <c r="D47" i="12"/>
  <c r="D96" i="12"/>
  <c r="D108" i="12"/>
  <c r="D78" i="12"/>
  <c r="D59" i="12"/>
  <c r="D180" i="12"/>
  <c r="D175" i="12"/>
  <c r="D118" i="12"/>
  <c r="D55" i="12"/>
  <c r="D76" i="12"/>
  <c r="D88" i="12"/>
  <c r="D28" i="12"/>
  <c r="D138" i="12"/>
  <c r="D185" i="12"/>
  <c r="D137" i="12"/>
  <c r="D112" i="12"/>
  <c r="D125" i="12"/>
  <c r="D119" i="12"/>
  <c r="D89" i="12"/>
  <c r="D41" i="12"/>
  <c r="D52" i="12"/>
  <c r="D56" i="12"/>
  <c r="D114" i="12"/>
  <c r="D71" i="12"/>
  <c r="D192" i="12"/>
  <c r="D104" i="12"/>
  <c r="D157" i="12"/>
  <c r="D29" i="12"/>
  <c r="D145" i="12"/>
  <c r="D120" i="12"/>
  <c r="D127" i="12"/>
  <c r="D48" i="12"/>
  <c r="D44" i="12"/>
  <c r="D91" i="12"/>
  <c r="D165" i="12"/>
  <c r="D144" i="12"/>
  <c r="D57" i="12"/>
  <c r="D72" i="12"/>
  <c r="D90" i="12"/>
  <c r="D42" i="12"/>
  <c r="D174" i="12"/>
  <c r="D121" i="12"/>
  <c r="D149" i="12"/>
  <c r="D100" i="12"/>
  <c r="D82" i="12"/>
  <c r="D53" i="12"/>
  <c r="D163" i="12"/>
  <c r="C169" i="12" l="1"/>
  <c r="E95" i="1"/>
  <c r="C60" i="10"/>
  <c r="C96" i="10"/>
  <c r="C72" i="10"/>
  <c r="D112" i="10"/>
  <c r="D162" i="10"/>
  <c r="D20" i="10"/>
  <c r="D10" i="10"/>
  <c r="D138" i="10"/>
  <c r="D117" i="10"/>
  <c r="D151" i="10"/>
  <c r="D101" i="10"/>
  <c r="D30" i="10"/>
  <c r="D116" i="10"/>
  <c r="D164" i="10"/>
  <c r="D221" i="10"/>
  <c r="D309" i="10"/>
  <c r="D173" i="10"/>
  <c r="D65" i="10"/>
  <c r="D137" i="10"/>
  <c r="D184" i="10"/>
  <c r="D310" i="10"/>
  <c r="D139" i="10"/>
  <c r="D224" i="10"/>
  <c r="E96" i="1"/>
  <c r="D142" i="10"/>
  <c r="D227" i="10"/>
  <c r="D55" i="10"/>
  <c r="D263" i="10"/>
  <c r="D91" i="10"/>
  <c r="D154" i="10"/>
  <c r="D281" i="10"/>
  <c r="D115" i="10"/>
  <c r="D45" i="10"/>
  <c r="D42" i="10"/>
  <c r="D178" i="10"/>
  <c r="D287" i="10"/>
  <c r="D222" i="10"/>
  <c r="D102" i="10"/>
  <c r="D235" i="10"/>
  <c r="D223" i="10"/>
  <c r="D322" i="10"/>
  <c r="D131" i="10"/>
  <c r="D306" i="10"/>
  <c r="D191" i="10"/>
  <c r="D294" i="10"/>
  <c r="D31" i="10"/>
  <c r="D284" i="10"/>
  <c r="D113" i="10"/>
  <c r="D197" i="10"/>
  <c r="D33" i="10"/>
  <c r="D82" i="10"/>
  <c r="D80" i="10"/>
  <c r="D225" i="10"/>
  <c r="D52" i="10"/>
  <c r="D203" i="10"/>
  <c r="D209" i="10"/>
  <c r="D90" i="10"/>
  <c r="D128" i="10"/>
  <c r="D177" i="10"/>
  <c r="D210" i="10"/>
  <c r="D77" i="10"/>
  <c r="D238" i="10"/>
  <c r="D166" i="10"/>
  <c r="D69" i="10"/>
  <c r="D70" i="10"/>
  <c r="D305" i="10"/>
  <c r="D127" i="10"/>
  <c r="D6" i="10"/>
  <c r="D161" i="10"/>
  <c r="D41" i="10"/>
  <c r="D257" i="10"/>
  <c r="D114" i="10"/>
  <c r="D129" i="10"/>
  <c r="D34" i="10"/>
  <c r="D298" i="10"/>
  <c r="D92" i="10"/>
  <c r="D296" i="10"/>
  <c r="D17" i="10"/>
  <c r="D150" i="10"/>
  <c r="D311" i="10"/>
  <c r="D323" i="10"/>
  <c r="D249" i="10"/>
  <c r="D167" i="10"/>
  <c r="D260" i="10"/>
  <c r="D23" i="10"/>
  <c r="D320" i="10"/>
  <c r="D214" i="10"/>
  <c r="D118" i="10"/>
  <c r="D106" i="10"/>
  <c r="D53" i="10"/>
  <c r="D274" i="10"/>
  <c r="D196" i="10"/>
  <c r="D190" i="10"/>
  <c r="D220" i="10"/>
  <c r="D148" i="10"/>
  <c r="D56" i="10"/>
  <c r="D153" i="10"/>
  <c r="D237" i="10"/>
  <c r="D174" i="10"/>
  <c r="D187" i="10"/>
  <c r="D18" i="10"/>
  <c r="D119" i="10"/>
  <c r="D66" i="10"/>
  <c r="D89" i="10"/>
  <c r="D186" i="10"/>
  <c r="D272" i="10"/>
  <c r="D250" i="10"/>
  <c r="D59" i="10"/>
  <c r="D141" i="10"/>
  <c r="D32" i="10"/>
  <c r="D21" i="10"/>
  <c r="D19" i="10"/>
  <c r="D269" i="10"/>
  <c r="D149" i="10"/>
  <c r="D199" i="10"/>
  <c r="D46" i="10"/>
  <c r="D318" i="10"/>
  <c r="D8" i="10"/>
  <c r="D297" i="10"/>
  <c r="D143" i="10"/>
  <c r="D295" i="10"/>
  <c r="D57" i="10"/>
  <c r="D198" i="10"/>
  <c r="D308" i="10"/>
  <c r="D185" i="10"/>
  <c r="D261" i="10"/>
  <c r="D105" i="10"/>
  <c r="D211" i="10"/>
  <c r="D88" i="10"/>
  <c r="D165" i="10"/>
  <c r="D126" i="10"/>
  <c r="D215" i="10"/>
  <c r="D68" i="10"/>
  <c r="D43" i="10"/>
  <c r="D54" i="10"/>
  <c r="D307" i="10"/>
  <c r="D271" i="10"/>
  <c r="D317" i="10"/>
  <c r="D293" i="10"/>
  <c r="D247" i="10"/>
  <c r="D188" i="10"/>
  <c r="D93" i="10"/>
  <c r="D152" i="10"/>
  <c r="D251" i="10"/>
  <c r="D104" i="10"/>
  <c r="D103" i="10"/>
  <c r="D35" i="10"/>
  <c r="D285" i="10"/>
  <c r="D163" i="10"/>
  <c r="D248" i="10"/>
  <c r="D130" i="10"/>
  <c r="D175" i="10"/>
  <c r="D79" i="10"/>
  <c r="D155" i="10"/>
  <c r="D319" i="10"/>
  <c r="D234" i="10"/>
  <c r="D201" i="10"/>
  <c r="D9" i="10"/>
  <c r="D78" i="10"/>
  <c r="D286" i="10"/>
  <c r="D95" i="10"/>
  <c r="D270" i="10"/>
  <c r="D275" i="10"/>
  <c r="D7" i="10"/>
  <c r="D226" i="10"/>
  <c r="D200" i="10"/>
  <c r="D236" i="10"/>
  <c r="D259" i="10"/>
  <c r="D76" i="10"/>
  <c r="D94" i="10"/>
  <c r="D47" i="10"/>
  <c r="D140" i="10"/>
  <c r="D81" i="10"/>
  <c r="D179" i="10"/>
  <c r="D321" i="10"/>
  <c r="D58" i="10"/>
  <c r="D239" i="10"/>
  <c r="D44" i="10"/>
  <c r="D67" i="10"/>
  <c r="D233" i="10"/>
  <c r="D202" i="10"/>
  <c r="D299" i="10"/>
  <c r="D22" i="10"/>
  <c r="D189" i="10"/>
  <c r="D83" i="10"/>
  <c r="D11" i="10"/>
  <c r="D107" i="10"/>
  <c r="D5" i="10"/>
  <c r="D246" i="10"/>
  <c r="D213" i="10"/>
  <c r="D125" i="10"/>
  <c r="D176" i="10"/>
  <c r="D283" i="10"/>
  <c r="D258" i="10"/>
  <c r="D212" i="10"/>
  <c r="D262" i="10"/>
  <c r="D282" i="10"/>
  <c r="D29" i="10"/>
  <c r="D273" i="10"/>
  <c r="D245" i="10"/>
  <c r="D169" i="12"/>
  <c r="D161" i="12"/>
  <c r="C181" i="12" l="1"/>
  <c r="C12" i="10"/>
  <c r="C24" i="10"/>
  <c r="C36" i="10"/>
  <c r="C48" i="10"/>
  <c r="C84" i="10"/>
  <c r="C108" i="10"/>
  <c r="C120" i="10"/>
  <c r="C132" i="10"/>
  <c r="C144" i="10"/>
  <c r="C156" i="10"/>
  <c r="C168" i="10"/>
  <c r="C180" i="10"/>
  <c r="C192" i="10"/>
  <c r="C204" i="10"/>
  <c r="C216" i="10"/>
  <c r="C228" i="10"/>
  <c r="C240" i="10"/>
  <c r="C252" i="10"/>
  <c r="C264" i="10"/>
  <c r="C276" i="10"/>
  <c r="C288" i="10"/>
  <c r="C300" i="10"/>
  <c r="C193" i="12"/>
  <c r="C312" i="10"/>
  <c r="C324" i="10"/>
  <c r="D3" i="15"/>
  <c r="D4" i="15"/>
  <c r="D5" i="15"/>
  <c r="D6" i="15"/>
  <c r="D7" i="15"/>
  <c r="D8" i="15"/>
  <c r="D9" i="15"/>
  <c r="D10" i="15"/>
  <c r="C11" i="15"/>
  <c r="D10" i="16"/>
  <c r="D9" i="16"/>
  <c r="D8" i="16"/>
  <c r="D7" i="16"/>
  <c r="D6" i="16"/>
  <c r="D5" i="16"/>
  <c r="D4" i="16"/>
  <c r="D3" i="16"/>
  <c r="C11" i="16"/>
  <c r="D61" i="1"/>
  <c r="D29" i="1"/>
  <c r="D59" i="1"/>
  <c r="D132" i="10"/>
  <c r="D136" i="10"/>
  <c r="D36" i="1"/>
  <c r="D49" i="1"/>
  <c r="D204" i="10"/>
  <c r="D33" i="1"/>
  <c r="D46" i="1"/>
  <c r="D87" i="1"/>
  <c r="D65" i="1"/>
  <c r="D34" i="1"/>
  <c r="D45" i="1"/>
  <c r="D50" i="1"/>
  <c r="D20" i="1"/>
  <c r="D78" i="1"/>
  <c r="D76" i="1"/>
  <c r="D324" i="10"/>
  <c r="D35" i="1"/>
  <c r="D100" i="10"/>
  <c r="D66" i="1"/>
  <c r="D304" i="10"/>
  <c r="D17" i="1"/>
  <c r="D24" i="10"/>
  <c r="D42" i="1"/>
  <c r="D51" i="1"/>
  <c r="D83" i="1"/>
  <c r="D240" i="10"/>
  <c r="D156" i="10"/>
  <c r="D92" i="1"/>
  <c r="D55" i="1"/>
  <c r="D18" i="1"/>
  <c r="D77" i="1"/>
  <c r="D172" i="10"/>
  <c r="D120" i="10"/>
  <c r="D316" i="10"/>
  <c r="D4" i="10"/>
  <c r="D180" i="10"/>
  <c r="D28" i="10"/>
  <c r="D60" i="10"/>
  <c r="D208" i="10"/>
  <c r="D288" i="10"/>
  <c r="D84" i="10"/>
  <c r="D216" i="10"/>
  <c r="D12" i="10"/>
  <c r="D64" i="1"/>
  <c r="D91" i="1"/>
  <c r="D73" i="1"/>
  <c r="D23" i="1"/>
  <c r="D11" i="16"/>
  <c r="D94" i="1"/>
  <c r="D15" i="1"/>
  <c r="D88" i="1"/>
  <c r="D48" i="10"/>
  <c r="D48" i="1"/>
  <c r="D32" i="1"/>
  <c r="D19" i="1"/>
  <c r="D28" i="1"/>
  <c r="D79" i="1"/>
  <c r="D85" i="1"/>
  <c r="D124" i="10"/>
  <c r="D16" i="10"/>
  <c r="D39" i="1"/>
  <c r="D21" i="1"/>
  <c r="D37" i="1"/>
  <c r="D63" i="1"/>
  <c r="D54" i="1"/>
  <c r="D89" i="1"/>
  <c r="D47" i="1"/>
  <c r="D70" i="1"/>
  <c r="D86" i="1"/>
  <c r="D67" i="1"/>
  <c r="D58" i="1"/>
  <c r="D264" i="10"/>
  <c r="D84" i="1"/>
  <c r="D16" i="1"/>
  <c r="D52" i="1"/>
  <c r="D93" i="1"/>
  <c r="D74" i="1"/>
  <c r="D300" i="10"/>
  <c r="D27" i="1"/>
  <c r="D90" i="1"/>
  <c r="D72" i="1"/>
  <c r="D292" i="10"/>
  <c r="D62" i="1"/>
  <c r="D252" i="10"/>
  <c r="D96" i="10"/>
  <c r="D268" i="10"/>
  <c r="D144" i="10"/>
  <c r="D108" i="10"/>
  <c r="D69" i="1"/>
  <c r="D244" i="10"/>
  <c r="D44" i="1"/>
  <c r="D26" i="1"/>
  <c r="D40" i="1"/>
  <c r="D43" i="1"/>
  <c r="D276" i="10"/>
  <c r="D280" i="10"/>
  <c r="D68" i="1"/>
  <c r="D71" i="1"/>
  <c r="D64" i="10"/>
  <c r="D75" i="1"/>
  <c r="D56" i="1"/>
  <c r="D11" i="15"/>
  <c r="D31" i="1"/>
  <c r="D168" i="10"/>
  <c r="D232" i="10"/>
  <c r="D41" i="1"/>
  <c r="D160" i="10"/>
  <c r="D192" i="10"/>
  <c r="D30" i="1"/>
  <c r="D53" i="1"/>
  <c r="D60" i="1"/>
  <c r="D82" i="1"/>
  <c r="D36" i="10"/>
  <c r="D38" i="1"/>
  <c r="D40" i="10"/>
  <c r="D228" i="10"/>
  <c r="D24" i="1"/>
  <c r="D72" i="10"/>
  <c r="D57" i="1"/>
  <c r="D312" i="10"/>
  <c r="D22" i="1"/>
  <c r="D71" i="10"/>
  <c r="D80" i="1"/>
  <c r="D25" i="1"/>
  <c r="D81" i="1"/>
  <c r="D256" i="10"/>
  <c r="D173" i="12"/>
  <c r="D181" i="12"/>
  <c r="D193"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<sst xmlns="http://schemas.openxmlformats.org/spreadsheetml/2006/main" count="1197" uniqueCount="245">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</sst>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8.emf"/><Relationship Id="rId3" Type="http://schemas.openxmlformats.org/officeDocument/2006/relationships/hyperlink" Target="https://datatracker.ietf.org/doc/html/rfc3696" TargetMode="External"/><Relationship Id="rId7" Type="http://schemas.openxmlformats.org/officeDocument/2006/relationships/printerSettings" Target="../printerSettings/printerSettings4.bin"/><Relationship Id="rId12" Type="http://schemas.openxmlformats.org/officeDocument/2006/relationships/control" Target="../activeX/activeX7.xml"/><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image" Target="../media/image7.emf"/><Relationship Id="rId5" Type="http://schemas.openxmlformats.org/officeDocument/2006/relationships/hyperlink" Target="https://fontawesome.com/v4/get-started/" TargetMode="External"/><Relationship Id="rId10" Type="http://schemas.openxmlformats.org/officeDocument/2006/relationships/control" Target="../activeX/activeX6.xml"/><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4" priority="27" operator="greaterThan">
      <formula>60</formula>
    </cfRule>
  </conditionalFormatting>
  <conditionalFormatting sqref="C312">
    <cfRule type="cellIs" dxfId="43" priority="26" operator="greaterThan">
      <formula>60</formula>
    </cfRule>
  </conditionalFormatting>
  <conditionalFormatting sqref="C300">
    <cfRule type="cellIs" dxfId="42" priority="25" operator="greaterThan">
      <formula>60</formula>
    </cfRule>
  </conditionalFormatting>
  <conditionalFormatting sqref="C288">
    <cfRule type="cellIs" dxfId="41" priority="24" operator="greaterThan">
      <formula>60</formula>
    </cfRule>
  </conditionalFormatting>
  <conditionalFormatting sqref="C276">
    <cfRule type="cellIs" dxfId="40" priority="23" operator="greaterThan">
      <formula>60</formula>
    </cfRule>
  </conditionalFormatting>
  <conditionalFormatting sqref="C264">
    <cfRule type="cellIs" dxfId="39" priority="22" operator="greaterThan">
      <formula>60</formula>
    </cfRule>
  </conditionalFormatting>
  <conditionalFormatting sqref="C252">
    <cfRule type="cellIs" dxfId="38" priority="21" operator="greaterThan">
      <formula>60</formula>
    </cfRule>
  </conditionalFormatting>
  <conditionalFormatting sqref="C240">
    <cfRule type="cellIs" dxfId="37" priority="20" operator="greaterThan">
      <formula>60</formula>
    </cfRule>
  </conditionalFormatting>
  <conditionalFormatting sqref="C228">
    <cfRule type="cellIs" dxfId="36" priority="19" operator="greaterThan">
      <formula>60</formula>
    </cfRule>
  </conditionalFormatting>
  <conditionalFormatting sqref="C216">
    <cfRule type="cellIs" dxfId="35" priority="18" operator="greaterThan">
      <formula>60</formula>
    </cfRule>
  </conditionalFormatting>
  <conditionalFormatting sqref="C204">
    <cfRule type="cellIs" dxfId="34" priority="17" operator="greaterThan">
      <formula>60</formula>
    </cfRule>
  </conditionalFormatting>
  <conditionalFormatting sqref="C192">
    <cfRule type="cellIs" dxfId="33" priority="16" operator="greaterThan">
      <formula>60</formula>
    </cfRule>
  </conditionalFormatting>
  <conditionalFormatting sqref="C180">
    <cfRule type="cellIs" dxfId="32" priority="15" operator="greaterThan">
      <formula>60</formula>
    </cfRule>
  </conditionalFormatting>
  <conditionalFormatting sqref="C168">
    <cfRule type="cellIs" dxfId="31" priority="14" operator="greaterThan">
      <formula>60</formula>
    </cfRule>
  </conditionalFormatting>
  <conditionalFormatting sqref="C156">
    <cfRule type="cellIs" dxfId="30" priority="13" operator="greaterThan">
      <formula>60</formula>
    </cfRule>
  </conditionalFormatting>
  <conditionalFormatting sqref="C144">
    <cfRule type="cellIs" dxfId="29" priority="12" operator="greaterThan">
      <formula>60</formula>
    </cfRule>
  </conditionalFormatting>
  <conditionalFormatting sqref="C132">
    <cfRule type="cellIs" dxfId="28" priority="11" operator="greaterThan">
      <formula>60</formula>
    </cfRule>
  </conditionalFormatting>
  <conditionalFormatting sqref="C120">
    <cfRule type="cellIs" dxfId="27" priority="10" operator="greaterThan">
      <formula>60</formula>
    </cfRule>
  </conditionalFormatting>
  <conditionalFormatting sqref="C108">
    <cfRule type="cellIs" dxfId="26" priority="9" operator="greaterThan">
      <formula>60</formula>
    </cfRule>
  </conditionalFormatting>
  <conditionalFormatting sqref="C96">
    <cfRule type="cellIs" dxfId="25" priority="8" operator="greaterThan">
      <formula>60</formula>
    </cfRule>
  </conditionalFormatting>
  <conditionalFormatting sqref="C84">
    <cfRule type="cellIs" dxfId="24" priority="7" operator="greaterThan">
      <formula>60</formula>
    </cfRule>
  </conditionalFormatting>
  <conditionalFormatting sqref="C72">
    <cfRule type="cellIs" dxfId="23" priority="6" operator="greaterThan">
      <formula>60</formula>
    </cfRule>
  </conditionalFormatting>
  <conditionalFormatting sqref="C60">
    <cfRule type="cellIs" dxfId="22" priority="5" operator="greaterThan">
      <formula>60</formula>
    </cfRule>
  </conditionalFormatting>
  <conditionalFormatting sqref="C48">
    <cfRule type="cellIs" dxfId="21" priority="4" operator="greaterThan">
      <formula>60</formula>
    </cfRule>
  </conditionalFormatting>
  <conditionalFormatting sqref="C36">
    <cfRule type="cellIs" dxfId="20" priority="3" operator="greaterThan">
      <formula>60</formula>
    </cfRule>
  </conditionalFormatting>
  <conditionalFormatting sqref="C24">
    <cfRule type="cellIs" dxfId="19" priority="2" operator="greaterThan">
      <formula>60</formula>
    </cfRule>
  </conditionalFormatting>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4"/>
  <sheetViews>
    <sheetView showGridLines="0" tabSelected="1" view="pageBreakPreview" zoomScale="87" zoomScaleNormal="99" zoomScaleSheetLayoutView="87" workbookViewId="0">
      <pane ySplit="1" topLeftCell="A2" activePane="bottomLeft" state="frozen"/>
      <selection pane="bottomLeft" activeCell="E15" sqref="E15"/>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16</v>
      </c>
      <c r="D2" s="137"/>
      <c r="E2" s="130" t="s">
        <v>13</v>
      </c>
      <c r="F2" s="131" t="s">
        <v>120</v>
      </c>
      <c r="G2" s="132" t="s">
        <v>76</v>
      </c>
      <c r="H2" s="151"/>
    </row>
    <row r="3" spans="2:8" s="39" customFormat="1" ht="30" customHeight="1" thickBot="1" x14ac:dyDescent="0.3">
      <c r="B3" s="61" t="s">
        <v>4</v>
      </c>
      <c r="C3" s="134" t="s">
        <v>35</v>
      </c>
      <c r="D3" s="133"/>
      <c r="E3" s="61" t="s">
        <v>11</v>
      </c>
      <c r="F3" s="228" t="s">
        <v>12</v>
      </c>
      <c r="G3" s="229"/>
      <c r="H3" s="151"/>
    </row>
    <row r="4" spans="2:8" s="43" customFormat="1" x14ac:dyDescent="0.3">
      <c r="B4" s="40" t="s">
        <v>42</v>
      </c>
      <c r="C4" s="41">
        <v>4</v>
      </c>
      <c r="D4" s="125" t="str">
        <f xml:space="preserve"> IF(C4="","",setValueToTime(C4))</f>
        <v xml:space="preserve"> 20 min</v>
      </c>
      <c r="E4" s="236" t="s">
        <v>238</v>
      </c>
      <c r="F4" s="220"/>
      <c r="G4" s="221"/>
      <c r="H4" s="152"/>
    </row>
    <row r="5" spans="2:8" s="43" customFormat="1" ht="27" x14ac:dyDescent="0.3">
      <c r="B5" s="44" t="s">
        <v>42</v>
      </c>
      <c r="C5" s="45">
        <v>14</v>
      </c>
      <c r="D5" s="126" t="str">
        <f t="shared" ref="D5:D11" si="0" xml:space="preserve"> IF(C5="","",setValueToTime(C5))</f>
        <v>1h 10 min</v>
      </c>
      <c r="E5" s="237" t="s">
        <v>239</v>
      </c>
      <c r="F5" s="222"/>
      <c r="G5" s="223"/>
      <c r="H5" s="152"/>
    </row>
    <row r="6" spans="2:8" s="43" customFormat="1" ht="27" x14ac:dyDescent="0.3">
      <c r="B6" s="44" t="s">
        <v>42</v>
      </c>
      <c r="C6" s="45">
        <v>15</v>
      </c>
      <c r="D6" s="126" t="str">
        <f t="shared" si="0"/>
        <v>1h 15 min</v>
      </c>
      <c r="E6" s="237" t="s">
        <v>240</v>
      </c>
      <c r="F6" s="222"/>
      <c r="G6" s="223"/>
      <c r="H6" s="152"/>
    </row>
    <row r="7" spans="2:8" s="43" customFormat="1" x14ac:dyDescent="0.3">
      <c r="B7" s="44" t="s">
        <v>42</v>
      </c>
      <c r="C7" s="45">
        <v>4</v>
      </c>
      <c r="D7" s="126" t="str">
        <f t="shared" si="0"/>
        <v xml:space="preserve"> 20 min</v>
      </c>
      <c r="E7" s="237" t="s">
        <v>244</v>
      </c>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27.75" thickBot="1" x14ac:dyDescent="0.35">
      <c r="B11" s="47" t="s">
        <v>41</v>
      </c>
      <c r="C11" s="47">
        <v>1</v>
      </c>
      <c r="D11" s="128" t="str">
        <f t="shared" si="0"/>
        <v xml:space="preserve"> 5 min</v>
      </c>
      <c r="E11" s="238" t="s">
        <v>73</v>
      </c>
      <c r="F11" s="226"/>
      <c r="G11" s="227"/>
      <c r="H11" s="152"/>
    </row>
    <row r="12" spans="2:8" s="43" customFormat="1" ht="15" thickBot="1" x14ac:dyDescent="0.35">
      <c r="B12" s="135" t="s">
        <v>25</v>
      </c>
      <c r="C12" s="66">
        <f>SUM(C4:C11)</f>
        <v>38</v>
      </c>
      <c r="D12" s="135" t="str">
        <f xml:space="preserve"> setValueToTime(C12)</f>
        <v>3h 10 min</v>
      </c>
      <c r="E12" s="96"/>
      <c r="F12" s="230"/>
      <c r="G12" s="231"/>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15</v>
      </c>
      <c r="D14" s="137"/>
      <c r="E14" s="130" t="s">
        <v>13</v>
      </c>
      <c r="F14" s="131" t="s">
        <v>120</v>
      </c>
      <c r="G14" s="132" t="s">
        <v>74</v>
      </c>
      <c r="H14" s="151"/>
    </row>
    <row r="15" spans="2:8" s="39" customFormat="1" ht="30" customHeight="1" thickBot="1" x14ac:dyDescent="0.3">
      <c r="B15" s="61" t="s">
        <v>4</v>
      </c>
      <c r="C15" s="134" t="s">
        <v>35</v>
      </c>
      <c r="D15" s="133"/>
      <c r="E15" s="61" t="s">
        <v>11</v>
      </c>
      <c r="F15" s="228" t="s">
        <v>12</v>
      </c>
      <c r="G15" s="229"/>
      <c r="H15" s="151"/>
    </row>
    <row r="16" spans="2:8" s="43" customFormat="1" ht="59.25" customHeight="1" x14ac:dyDescent="0.3">
      <c r="B16" s="40" t="s">
        <v>66</v>
      </c>
      <c r="C16" s="41">
        <v>8</v>
      </c>
      <c r="D16" s="125" t="str">
        <f xml:space="preserve"> IF(C16="","",setValueToTime(C16))</f>
        <v xml:space="preserve"> 40 min</v>
      </c>
      <c r="E16" s="173" t="s">
        <v>236</v>
      </c>
      <c r="F16" s="220"/>
      <c r="G16" s="221"/>
      <c r="H16" s="152"/>
    </row>
    <row r="17" spans="2:8" s="43" customFormat="1" ht="27" x14ac:dyDescent="0.3">
      <c r="B17" s="44" t="s">
        <v>61</v>
      </c>
      <c r="C17" s="45">
        <v>12</v>
      </c>
      <c r="D17" s="126" t="str">
        <f t="shared" ref="D17:D23" si="1" xml:space="preserve"> IF(C17="","",setValueToTime(C17))</f>
        <v>1h</v>
      </c>
      <c r="E17" s="170" t="s">
        <v>237</v>
      </c>
      <c r="F17" s="222"/>
      <c r="G17" s="223"/>
      <c r="H17" s="152"/>
    </row>
    <row r="18" spans="2:8" s="43" customFormat="1" ht="40.5" x14ac:dyDescent="0.3">
      <c r="B18" s="44" t="s">
        <v>46</v>
      </c>
      <c r="C18" s="45">
        <v>5</v>
      </c>
      <c r="D18" s="126" t="str">
        <f t="shared" si="1"/>
        <v xml:space="preserve"> 25 min</v>
      </c>
      <c r="E18" s="170" t="s">
        <v>241</v>
      </c>
      <c r="F18" s="222"/>
      <c r="G18" s="223"/>
      <c r="H18" s="152"/>
    </row>
    <row r="19" spans="2:8" s="43" customFormat="1" ht="27" x14ac:dyDescent="0.3">
      <c r="B19" s="44" t="s">
        <v>50</v>
      </c>
      <c r="C19" s="45">
        <v>11</v>
      </c>
      <c r="D19" s="126" t="str">
        <f t="shared" si="1"/>
        <v xml:space="preserve"> 55 min</v>
      </c>
      <c r="E19" s="237" t="s">
        <v>242</v>
      </c>
      <c r="F19" s="222"/>
      <c r="G19" s="223"/>
      <c r="H19" s="152"/>
    </row>
    <row r="20" spans="2:8" s="43" customFormat="1" x14ac:dyDescent="0.3">
      <c r="B20" s="45" t="s">
        <v>61</v>
      </c>
      <c r="C20" s="45">
        <v>9</v>
      </c>
      <c r="D20" s="127" t="str">
        <f t="shared" si="1"/>
        <v xml:space="preserve"> 45 min</v>
      </c>
      <c r="E20" s="237" t="s">
        <v>243</v>
      </c>
      <c r="F20" s="222"/>
      <c r="G20" s="223"/>
      <c r="H20" s="152"/>
    </row>
    <row r="21" spans="2:8" s="43" customFormat="1" x14ac:dyDescent="0.3">
      <c r="B21" s="45"/>
      <c r="C21" s="45"/>
      <c r="D21" s="127" t="str">
        <f t="shared" si="1"/>
        <v/>
      </c>
      <c r="E21" s="46"/>
      <c r="F21" s="222"/>
      <c r="G21" s="223"/>
      <c r="H21" s="152"/>
    </row>
    <row r="22" spans="2:8" s="43" customFormat="1" x14ac:dyDescent="0.3">
      <c r="B22" s="45"/>
      <c r="C22" s="45"/>
      <c r="D22" s="127" t="str">
        <f t="shared" si="1"/>
        <v/>
      </c>
      <c r="E22" s="46"/>
      <c r="F22" s="222"/>
      <c r="G22" s="223"/>
      <c r="H22" s="152"/>
    </row>
    <row r="23" spans="2:8" s="43" customFormat="1" ht="27.75" thickBot="1" x14ac:dyDescent="0.35">
      <c r="B23" s="47" t="s">
        <v>41</v>
      </c>
      <c r="C23" s="47">
        <v>3</v>
      </c>
      <c r="D23" s="128" t="str">
        <f t="shared" si="1"/>
        <v xml:space="preserve"> 15 min</v>
      </c>
      <c r="E23" s="238" t="s">
        <v>73</v>
      </c>
      <c r="F23" s="226"/>
      <c r="G23" s="227"/>
      <c r="H23" s="152"/>
    </row>
    <row r="24" spans="2:8" s="43" customFormat="1" ht="15" thickBot="1" x14ac:dyDescent="0.35">
      <c r="B24" s="135" t="s">
        <v>25</v>
      </c>
      <c r="C24" s="66">
        <f>SUM(C16:C23)</f>
        <v>48</v>
      </c>
      <c r="D24" s="135" t="str">
        <f xml:space="preserve"> setValueToTime(C24)</f>
        <v>4h</v>
      </c>
      <c r="E24" s="96"/>
      <c r="F24" s="230"/>
      <c r="G24" s="231"/>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14</v>
      </c>
      <c r="D26" s="137"/>
      <c r="E26" s="130" t="s">
        <v>13</v>
      </c>
      <c r="F26" s="131" t="s">
        <v>121</v>
      </c>
      <c r="G26" s="132" t="s">
        <v>76</v>
      </c>
      <c r="H26" s="151"/>
    </row>
    <row r="27" spans="2:8" s="39" customFormat="1" ht="30" customHeight="1" thickBot="1" x14ac:dyDescent="0.3">
      <c r="B27" s="61" t="s">
        <v>4</v>
      </c>
      <c r="C27" s="134" t="s">
        <v>35</v>
      </c>
      <c r="D27" s="133"/>
      <c r="E27" s="61" t="s">
        <v>11</v>
      </c>
      <c r="F27" s="228" t="s">
        <v>12</v>
      </c>
      <c r="G27" s="229"/>
      <c r="H27" s="151"/>
    </row>
    <row r="28" spans="2:8" s="43" customFormat="1" ht="40.5" x14ac:dyDescent="0.3">
      <c r="B28" s="40" t="s">
        <v>163</v>
      </c>
      <c r="C28" s="41">
        <v>22</v>
      </c>
      <c r="D28" s="125" t="str">
        <f xml:space="preserve"> IF(C28="","",setValueToTime(C28))</f>
        <v>1h 50 min</v>
      </c>
      <c r="E28" s="173" t="s">
        <v>235</v>
      </c>
      <c r="F28" s="220"/>
      <c r="G28" s="221"/>
      <c r="H28" s="152"/>
    </row>
    <row r="29" spans="2:8" s="43" customFormat="1" ht="40.5" x14ac:dyDescent="0.3">
      <c r="B29" s="44" t="s">
        <v>46</v>
      </c>
      <c r="C29" s="45">
        <v>14</v>
      </c>
      <c r="D29" s="126" t="str">
        <f t="shared" ref="D29:D35" si="2" xml:space="preserve"> IF(C29="","",setValueToTime(C29))</f>
        <v>1h 10 min</v>
      </c>
      <c r="E29" s="170" t="s">
        <v>232</v>
      </c>
      <c r="F29" s="234" t="s">
        <v>231</v>
      </c>
      <c r="G29" s="235"/>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2</v>
      </c>
      <c r="D35" s="128" t="str">
        <f t="shared" si="2"/>
        <v xml:space="preserve"> 10 min</v>
      </c>
      <c r="E35" s="178" t="s">
        <v>216</v>
      </c>
      <c r="F35" s="226"/>
      <c r="G35" s="227"/>
      <c r="H35" s="152"/>
    </row>
    <row r="36" spans="2:8" s="43" customFormat="1" ht="15" thickBot="1" x14ac:dyDescent="0.35">
      <c r="B36" s="135" t="s">
        <v>25</v>
      </c>
      <c r="C36" s="66">
        <f>SUM(C28:C35)</f>
        <v>38</v>
      </c>
      <c r="D36" s="135" t="str">
        <f xml:space="preserve"> setValueToTime(C36)</f>
        <v>3h 10 min</v>
      </c>
      <c r="E36" s="96"/>
      <c r="F36" s="230"/>
      <c r="G36" s="231"/>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13</v>
      </c>
      <c r="D38" s="137"/>
      <c r="E38" s="130" t="s">
        <v>13</v>
      </c>
      <c r="F38" s="131" t="s">
        <v>121</v>
      </c>
      <c r="G38" s="132" t="s">
        <v>74</v>
      </c>
      <c r="H38" s="151"/>
    </row>
    <row r="39" spans="2:8" s="39" customFormat="1" ht="30" customHeight="1" thickBot="1" x14ac:dyDescent="0.3">
      <c r="B39" s="61" t="s">
        <v>4</v>
      </c>
      <c r="C39" s="134" t="s">
        <v>35</v>
      </c>
      <c r="D39" s="133"/>
      <c r="E39" s="61" t="s">
        <v>11</v>
      </c>
      <c r="F39" s="228" t="s">
        <v>12</v>
      </c>
      <c r="G39" s="229"/>
      <c r="H39" s="151"/>
    </row>
    <row r="40" spans="2:8" s="43" customFormat="1" ht="27" x14ac:dyDescent="0.3">
      <c r="B40" s="40" t="s">
        <v>50</v>
      </c>
      <c r="C40" s="41">
        <v>2</v>
      </c>
      <c r="D40" s="125" t="str">
        <f xml:space="preserve"> IF(C40="","",setValueToTime(C40))</f>
        <v xml:space="preserve"> 10 min</v>
      </c>
      <c r="E40" s="173" t="s">
        <v>221</v>
      </c>
      <c r="F40" s="220"/>
      <c r="G40" s="221"/>
      <c r="H40" s="152"/>
    </row>
    <row r="41" spans="2:8" s="43" customFormat="1" ht="27" x14ac:dyDescent="0.3">
      <c r="B41" s="44" t="s">
        <v>66</v>
      </c>
      <c r="C41" s="45">
        <v>16</v>
      </c>
      <c r="D41" s="126" t="str">
        <f t="shared" ref="D41:D47" si="3" xml:space="preserve"> IF(C41="","",setValueToTime(C41))</f>
        <v>1h 20 min</v>
      </c>
      <c r="E41" s="170" t="s">
        <v>229</v>
      </c>
      <c r="F41" s="222"/>
      <c r="G41" s="223"/>
      <c r="H41" s="152"/>
    </row>
    <row r="42" spans="2:8" s="43" customFormat="1" ht="39.75" x14ac:dyDescent="0.3">
      <c r="B42" s="44" t="s">
        <v>66</v>
      </c>
      <c r="C42" s="45">
        <v>18</v>
      </c>
      <c r="D42" s="126" t="str">
        <f t="shared" si="3"/>
        <v>1h 30 min</v>
      </c>
      <c r="E42" s="170" t="s">
        <v>233</v>
      </c>
      <c r="F42" s="222"/>
      <c r="G42" s="223"/>
      <c r="H42" s="152"/>
    </row>
    <row r="43" spans="2:8" s="43" customFormat="1" ht="40.5" x14ac:dyDescent="0.3">
      <c r="B43" s="44" t="s">
        <v>46</v>
      </c>
      <c r="C43" s="45">
        <v>4</v>
      </c>
      <c r="D43" s="126" t="str">
        <f t="shared" si="3"/>
        <v xml:space="preserve"> 20 min</v>
      </c>
      <c r="E43" s="179" t="s">
        <v>230</v>
      </c>
      <c r="F43" s="222"/>
      <c r="G43" s="223"/>
      <c r="H43" s="152"/>
    </row>
    <row r="44" spans="2:8" s="43" customFormat="1" ht="27" x14ac:dyDescent="0.3">
      <c r="B44" s="45" t="s">
        <v>163</v>
      </c>
      <c r="C44" s="45">
        <v>7</v>
      </c>
      <c r="D44" s="127" t="str">
        <f t="shared" si="3"/>
        <v xml:space="preserve"> 35 min</v>
      </c>
      <c r="E44" s="170" t="s">
        <v>234</v>
      </c>
      <c r="F44" s="222"/>
      <c r="G44" s="223"/>
      <c r="H44" s="152"/>
    </row>
    <row r="45" spans="2:8" s="43" customFormat="1" x14ac:dyDescent="0.3">
      <c r="B45" s="45"/>
      <c r="C45" s="45"/>
      <c r="D45" s="127" t="str">
        <f t="shared" si="3"/>
        <v/>
      </c>
      <c r="E45" s="46"/>
      <c r="F45" s="222"/>
      <c r="G45" s="223"/>
      <c r="H45" s="152"/>
    </row>
    <row r="46" spans="2:8" s="43" customFormat="1" x14ac:dyDescent="0.3">
      <c r="B46" s="45"/>
      <c r="C46" s="45"/>
      <c r="D46" s="127" t="str">
        <f t="shared" si="3"/>
        <v/>
      </c>
      <c r="E46" s="46"/>
      <c r="F46" s="222"/>
      <c r="G46" s="223"/>
      <c r="H46" s="152"/>
    </row>
    <row r="47" spans="2:8" s="43" customFormat="1" ht="27.75" thickBot="1" x14ac:dyDescent="0.35">
      <c r="B47" s="47" t="s">
        <v>41</v>
      </c>
      <c r="C47" s="47">
        <v>1</v>
      </c>
      <c r="D47" s="128" t="str">
        <f t="shared" si="3"/>
        <v xml:space="preserve"> 5 min</v>
      </c>
      <c r="E47" s="178" t="s">
        <v>216</v>
      </c>
      <c r="F47" s="226"/>
      <c r="G47" s="227"/>
      <c r="H47" s="152"/>
    </row>
    <row r="48" spans="2:8" s="43" customFormat="1" ht="15" thickBot="1" x14ac:dyDescent="0.35">
      <c r="B48" s="135" t="s">
        <v>25</v>
      </c>
      <c r="C48" s="66">
        <f>SUM(C40:C47)</f>
        <v>48</v>
      </c>
      <c r="D48" s="135" t="str">
        <f xml:space="preserve"> setValueToTime(C48)</f>
        <v>4h</v>
      </c>
      <c r="E48" s="96"/>
      <c r="F48" s="230"/>
      <c r="G48" s="231"/>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12</v>
      </c>
      <c r="D50" s="137"/>
      <c r="E50" s="130" t="s">
        <v>13</v>
      </c>
      <c r="F50" s="131" t="s">
        <v>122</v>
      </c>
      <c r="G50" s="132" t="s">
        <v>74</v>
      </c>
      <c r="H50" s="151"/>
    </row>
    <row r="51" spans="2:8" s="39" customFormat="1" ht="30" customHeight="1" thickBot="1" x14ac:dyDescent="0.3">
      <c r="B51" s="61" t="s">
        <v>4</v>
      </c>
      <c r="C51" s="134" t="s">
        <v>35</v>
      </c>
      <c r="D51" s="133"/>
      <c r="E51" s="61" t="s">
        <v>11</v>
      </c>
      <c r="F51" s="228" t="s">
        <v>12</v>
      </c>
      <c r="G51" s="229"/>
      <c r="H51" s="151"/>
    </row>
    <row r="52" spans="2:8" s="43" customFormat="1" ht="27" x14ac:dyDescent="0.3">
      <c r="B52" s="40" t="s">
        <v>61</v>
      </c>
      <c r="C52" s="41">
        <v>4</v>
      </c>
      <c r="D52" s="125" t="str">
        <f xml:space="preserve"> IF(C52="","",setValueToTime(C52))</f>
        <v xml:space="preserve"> 20 min</v>
      </c>
      <c r="E52" s="173" t="s">
        <v>223</v>
      </c>
      <c r="F52" s="232" t="s">
        <v>222</v>
      </c>
      <c r="G52" s="233"/>
      <c r="H52" s="152"/>
    </row>
    <row r="53" spans="2:8" s="43" customFormat="1" ht="27" x14ac:dyDescent="0.3">
      <c r="B53" s="44" t="s">
        <v>64</v>
      </c>
      <c r="C53" s="45">
        <v>4</v>
      </c>
      <c r="D53" s="126" t="str">
        <f t="shared" ref="D53:D59" si="4" xml:space="preserve"> IF(C53="","",setValueToTime(C53))</f>
        <v xml:space="preserve"> 20 min</v>
      </c>
      <c r="E53" s="170" t="s">
        <v>224</v>
      </c>
      <c r="F53" s="222"/>
      <c r="G53" s="223"/>
      <c r="H53" s="152"/>
    </row>
    <row r="54" spans="2:8" s="43" customFormat="1" ht="27" x14ac:dyDescent="0.3">
      <c r="B54" s="44" t="s">
        <v>61</v>
      </c>
      <c r="C54" s="45">
        <v>2</v>
      </c>
      <c r="D54" s="126" t="str">
        <f t="shared" si="4"/>
        <v xml:space="preserve"> 10 min</v>
      </c>
      <c r="E54" s="170" t="s">
        <v>225</v>
      </c>
      <c r="F54" s="222"/>
      <c r="G54" s="223"/>
      <c r="H54" s="152"/>
    </row>
    <row r="55" spans="2:8" s="43" customFormat="1" ht="27" x14ac:dyDescent="0.3">
      <c r="B55" s="44" t="s">
        <v>43</v>
      </c>
      <c r="C55" s="45">
        <v>6</v>
      </c>
      <c r="D55" s="126" t="str">
        <f t="shared" si="4"/>
        <v xml:space="preserve"> 30 min</v>
      </c>
      <c r="E55" s="170" t="s">
        <v>228</v>
      </c>
      <c r="F55" s="222"/>
      <c r="G55" s="223"/>
      <c r="H55" s="152"/>
    </row>
    <row r="56" spans="2:8" s="43" customFormat="1" ht="27" x14ac:dyDescent="0.3">
      <c r="B56" s="44" t="s">
        <v>66</v>
      </c>
      <c r="C56" s="45">
        <v>6</v>
      </c>
      <c r="D56" s="126" t="str">
        <f t="shared" ref="D56:D57" si="5" xml:space="preserve"> IF(C56="","",setValueToTime(C56))</f>
        <v xml:space="preserve"> 30 min</v>
      </c>
      <c r="E56" s="170" t="s">
        <v>226</v>
      </c>
      <c r="F56" s="222"/>
      <c r="G56" s="223"/>
      <c r="H56" s="152"/>
    </row>
    <row r="57" spans="2:8" s="43" customFormat="1" ht="27" x14ac:dyDescent="0.3">
      <c r="B57" s="45" t="s">
        <v>60</v>
      </c>
      <c r="C57" s="45">
        <v>4</v>
      </c>
      <c r="D57" s="127" t="str">
        <f t="shared" si="5"/>
        <v xml:space="preserve"> 20 min</v>
      </c>
      <c r="E57" s="170" t="s">
        <v>227</v>
      </c>
      <c r="F57" s="222"/>
      <c r="G57" s="223"/>
      <c r="H57" s="152"/>
    </row>
    <row r="58" spans="2:8" s="43" customFormat="1" x14ac:dyDescent="0.3">
      <c r="B58" s="45"/>
      <c r="C58" s="45"/>
      <c r="D58" s="127" t="str">
        <f t="shared" si="4"/>
        <v/>
      </c>
      <c r="E58" s="46"/>
      <c r="F58" s="222"/>
      <c r="G58" s="223"/>
      <c r="H58" s="152"/>
    </row>
    <row r="59" spans="2:8" s="43" customFormat="1" ht="27.75" thickBot="1" x14ac:dyDescent="0.35">
      <c r="B59" s="47" t="s">
        <v>41</v>
      </c>
      <c r="C59" s="47">
        <v>2</v>
      </c>
      <c r="D59" s="128" t="str">
        <f t="shared" si="4"/>
        <v xml:space="preserve"> 10 min</v>
      </c>
      <c r="E59" s="178" t="s">
        <v>216</v>
      </c>
      <c r="F59" s="226"/>
      <c r="G59" s="227"/>
      <c r="H59" s="152"/>
    </row>
    <row r="60" spans="2:8" s="43" customFormat="1" ht="15" thickBot="1" x14ac:dyDescent="0.35">
      <c r="B60" s="135" t="s">
        <v>25</v>
      </c>
      <c r="C60" s="66">
        <f>SUM(C52:C59)</f>
        <v>28</v>
      </c>
      <c r="D60" s="135" t="str">
        <f xml:space="preserve"> setValueToTime(C60)</f>
        <v>2h 20 min</v>
      </c>
      <c r="E60" s="96"/>
      <c r="F60" s="230"/>
      <c r="G60" s="231"/>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11</v>
      </c>
      <c r="D62" s="137"/>
      <c r="E62" s="130" t="s">
        <v>13</v>
      </c>
      <c r="F62" s="131" t="s">
        <v>123</v>
      </c>
      <c r="G62" s="132" t="s">
        <v>76</v>
      </c>
      <c r="H62" s="151"/>
    </row>
    <row r="63" spans="2:8" s="39" customFormat="1" ht="30" customHeight="1" thickBot="1" x14ac:dyDescent="0.3">
      <c r="B63" s="61" t="s">
        <v>4</v>
      </c>
      <c r="C63" s="134" t="s">
        <v>35</v>
      </c>
      <c r="D63" s="133"/>
      <c r="E63" s="61" t="s">
        <v>11</v>
      </c>
      <c r="F63" s="228" t="s">
        <v>12</v>
      </c>
      <c r="G63" s="229"/>
      <c r="H63" s="151"/>
    </row>
    <row r="64" spans="2:8" s="43" customFormat="1" ht="27" x14ac:dyDescent="0.3">
      <c r="B64" s="40" t="s">
        <v>42</v>
      </c>
      <c r="C64" s="41">
        <v>18</v>
      </c>
      <c r="D64" s="125" t="str">
        <f xml:space="preserve"> IF(C64="","",setValueToTime(C64))</f>
        <v>1h 30 min</v>
      </c>
      <c r="E64" s="173" t="s">
        <v>217</v>
      </c>
      <c r="F64" s="220"/>
      <c r="G64" s="221"/>
      <c r="H64" s="152"/>
    </row>
    <row r="65" spans="2:8" s="43" customFormat="1" x14ac:dyDescent="0.3">
      <c r="B65" s="44" t="s">
        <v>42</v>
      </c>
      <c r="C65" s="45">
        <v>8</v>
      </c>
      <c r="D65" s="126" t="str">
        <f t="shared" ref="D65:D71" si="6" xml:space="preserve"> IF(C65="","",setValueToTime(C65))</f>
        <v xml:space="preserve"> 40 min</v>
      </c>
      <c r="E65" s="170" t="s">
        <v>218</v>
      </c>
      <c r="F65" s="222"/>
      <c r="G65" s="223"/>
      <c r="H65" s="152"/>
    </row>
    <row r="66" spans="2:8" s="43" customFormat="1" x14ac:dyDescent="0.3">
      <c r="B66" s="44"/>
      <c r="C66" s="45"/>
      <c r="D66" s="126" t="str">
        <f t="shared" si="6"/>
        <v/>
      </c>
      <c r="E66" s="46"/>
      <c r="F66" s="222"/>
      <c r="G66" s="223"/>
      <c r="H66" s="152"/>
    </row>
    <row r="67" spans="2:8" s="43" customFormat="1" x14ac:dyDescent="0.3">
      <c r="B67" s="44"/>
      <c r="C67" s="45"/>
      <c r="D67" s="126" t="str">
        <f t="shared" si="6"/>
        <v/>
      </c>
      <c r="E67" s="46"/>
      <c r="F67" s="222"/>
      <c r="G67" s="223"/>
      <c r="H67" s="152"/>
    </row>
    <row r="68" spans="2:8" s="43" customFormat="1" x14ac:dyDescent="0.3">
      <c r="B68" s="45"/>
      <c r="C68" s="45"/>
      <c r="D68" s="127" t="str">
        <f t="shared" si="6"/>
        <v/>
      </c>
      <c r="E68" s="46"/>
      <c r="F68" s="222"/>
      <c r="G68" s="223"/>
      <c r="H68" s="152"/>
    </row>
    <row r="69" spans="2:8" s="43" customFormat="1" x14ac:dyDescent="0.3">
      <c r="B69" s="45"/>
      <c r="C69" s="45"/>
      <c r="D69" s="127" t="str">
        <f t="shared" si="6"/>
        <v/>
      </c>
      <c r="E69" s="46"/>
      <c r="F69" s="222"/>
      <c r="G69" s="223"/>
      <c r="H69" s="152"/>
    </row>
    <row r="70" spans="2:8" s="43" customFormat="1" x14ac:dyDescent="0.3">
      <c r="B70" s="45"/>
      <c r="C70" s="45"/>
      <c r="D70" s="127" t="str">
        <f t="shared" si="6"/>
        <v/>
      </c>
      <c r="E70" s="46"/>
      <c r="F70" s="222"/>
      <c r="G70" s="223"/>
      <c r="H70" s="152"/>
    </row>
    <row r="71" spans="2:8" s="43" customFormat="1" ht="27.75" thickBot="1" x14ac:dyDescent="0.35">
      <c r="B71" s="47" t="s">
        <v>41</v>
      </c>
      <c r="C71" s="47">
        <v>2</v>
      </c>
      <c r="D71" s="128" t="str">
        <f t="shared" si="6"/>
        <v xml:space="preserve"> 10 min</v>
      </c>
      <c r="E71" s="178" t="s">
        <v>216</v>
      </c>
      <c r="F71" s="226"/>
      <c r="G71" s="227"/>
      <c r="H71" s="152"/>
    </row>
    <row r="72" spans="2:8" s="43" customFormat="1" ht="15" thickBot="1" x14ac:dyDescent="0.35">
      <c r="B72" s="135" t="s">
        <v>25</v>
      </c>
      <c r="C72" s="66">
        <f>SUM(C64:C71)</f>
        <v>28</v>
      </c>
      <c r="D72" s="135" t="str">
        <f xml:space="preserve"> setValueToTime(C72)</f>
        <v>2h 20 min</v>
      </c>
      <c r="E72" s="96"/>
      <c r="F72" s="230"/>
      <c r="G72" s="231"/>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10</v>
      </c>
      <c r="D74" s="137"/>
      <c r="E74" s="130" t="s">
        <v>13</v>
      </c>
      <c r="F74" s="131" t="s">
        <v>123</v>
      </c>
      <c r="G74" s="132" t="s">
        <v>74</v>
      </c>
      <c r="H74" s="151"/>
    </row>
    <row r="75" spans="2:8" s="39" customFormat="1" ht="30" customHeight="1" thickBot="1" x14ac:dyDescent="0.3">
      <c r="B75" s="61" t="s">
        <v>4</v>
      </c>
      <c r="C75" s="134" t="s">
        <v>35</v>
      </c>
      <c r="D75" s="133"/>
      <c r="E75" s="61" t="s">
        <v>11</v>
      </c>
      <c r="F75" s="228" t="s">
        <v>12</v>
      </c>
      <c r="G75" s="229"/>
      <c r="H75" s="151"/>
    </row>
    <row r="76" spans="2:8" s="43" customFormat="1" ht="27" x14ac:dyDescent="0.3">
      <c r="B76" s="40" t="s">
        <v>62</v>
      </c>
      <c r="C76" s="41">
        <v>9</v>
      </c>
      <c r="D76" s="125" t="str">
        <f xml:space="preserve"> IF(C76="","",setValueToTime(C76))</f>
        <v xml:space="preserve"> 45 min</v>
      </c>
      <c r="E76" s="173" t="s">
        <v>209</v>
      </c>
      <c r="F76" s="220"/>
      <c r="G76" s="221"/>
      <c r="H76" s="152"/>
    </row>
    <row r="77" spans="2:8" s="43" customFormat="1" x14ac:dyDescent="0.3">
      <c r="B77" s="44" t="s">
        <v>61</v>
      </c>
      <c r="C77" s="45">
        <v>7</v>
      </c>
      <c r="D77" s="126" t="str">
        <f t="shared" ref="D77:D83" si="7" xml:space="preserve"> IF(C77="","",setValueToTime(C77))</f>
        <v xml:space="preserve"> 35 min</v>
      </c>
      <c r="E77" s="170" t="s">
        <v>210</v>
      </c>
      <c r="F77" s="222"/>
      <c r="G77" s="223"/>
      <c r="H77" s="152"/>
    </row>
    <row r="78" spans="2:8" s="43" customFormat="1" x14ac:dyDescent="0.3">
      <c r="B78" s="44" t="s">
        <v>61</v>
      </c>
      <c r="C78" s="45">
        <v>3</v>
      </c>
      <c r="D78" s="126" t="str">
        <f t="shared" si="7"/>
        <v xml:space="preserve"> 15 min</v>
      </c>
      <c r="E78" s="170" t="s">
        <v>211</v>
      </c>
      <c r="F78" s="222"/>
      <c r="G78" s="223"/>
      <c r="H78" s="152"/>
    </row>
    <row r="79" spans="2:8" s="43" customFormat="1" ht="27" x14ac:dyDescent="0.3">
      <c r="B79" s="44" t="s">
        <v>61</v>
      </c>
      <c r="C79" s="45">
        <v>9</v>
      </c>
      <c r="D79" s="126" t="str">
        <f t="shared" si="7"/>
        <v xml:space="preserve"> 45 min</v>
      </c>
      <c r="E79" s="179" t="s">
        <v>212</v>
      </c>
      <c r="F79" s="222"/>
      <c r="G79" s="223"/>
      <c r="H79" s="152"/>
    </row>
    <row r="80" spans="2:8" s="43" customFormat="1" ht="27" x14ac:dyDescent="0.3">
      <c r="B80" s="45" t="s">
        <v>51</v>
      </c>
      <c r="C80" s="45">
        <v>6</v>
      </c>
      <c r="D80" s="127" t="str">
        <f t="shared" si="7"/>
        <v xml:space="preserve"> 30 min</v>
      </c>
      <c r="E80" s="170" t="s">
        <v>213</v>
      </c>
      <c r="F80" s="222"/>
      <c r="G80" s="223"/>
      <c r="H80" s="152"/>
    </row>
    <row r="81" spans="2:8" s="43" customFormat="1" ht="27" x14ac:dyDescent="0.3">
      <c r="B81" s="45" t="s">
        <v>66</v>
      </c>
      <c r="C81" s="45">
        <v>4</v>
      </c>
      <c r="D81" s="127" t="str">
        <f t="shared" si="7"/>
        <v xml:space="preserve"> 20 min</v>
      </c>
      <c r="E81" s="170" t="s">
        <v>215</v>
      </c>
      <c r="F81" s="222"/>
      <c r="G81" s="223"/>
      <c r="H81" s="152"/>
    </row>
    <row r="82" spans="2:8" s="43" customFormat="1" ht="27" x14ac:dyDescent="0.3">
      <c r="B82" s="45" t="s">
        <v>50</v>
      </c>
      <c r="C82" s="45">
        <v>8</v>
      </c>
      <c r="D82" s="127" t="str">
        <f t="shared" si="7"/>
        <v xml:space="preserve"> 40 min</v>
      </c>
      <c r="E82" s="170" t="s">
        <v>214</v>
      </c>
      <c r="F82" s="222"/>
      <c r="G82" s="223"/>
      <c r="H82" s="152"/>
    </row>
    <row r="83" spans="2:8" s="43" customFormat="1" ht="27.75" thickBot="1" x14ac:dyDescent="0.35">
      <c r="B83" s="47" t="s">
        <v>41</v>
      </c>
      <c r="C83" s="47">
        <v>2</v>
      </c>
      <c r="D83" s="128" t="str">
        <f t="shared" si="7"/>
        <v xml:space="preserve"> 10 min</v>
      </c>
      <c r="E83" s="178" t="s">
        <v>216</v>
      </c>
      <c r="F83" s="226"/>
      <c r="G83" s="227"/>
      <c r="H83" s="152"/>
    </row>
    <row r="84" spans="2:8" s="43" customFormat="1" ht="15" thickBot="1" x14ac:dyDescent="0.35">
      <c r="B84" s="135" t="s">
        <v>25</v>
      </c>
      <c r="C84" s="66">
        <f>SUM(C76:C83)</f>
        <v>48</v>
      </c>
      <c r="D84" s="135" t="str">
        <f xml:space="preserve"> setValueToTime(C84)</f>
        <v>4h</v>
      </c>
      <c r="E84" s="96"/>
      <c r="F84" s="230"/>
      <c r="G84" s="231"/>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9</v>
      </c>
      <c r="D86" s="137"/>
      <c r="E86" s="130" t="s">
        <v>13</v>
      </c>
      <c r="F86" s="131" t="s">
        <v>124</v>
      </c>
      <c r="G86" s="132" t="s">
        <v>76</v>
      </c>
      <c r="H86" s="151"/>
    </row>
    <row r="87" spans="2:8" s="39" customFormat="1" ht="30" customHeight="1" thickBot="1" x14ac:dyDescent="0.3">
      <c r="B87" s="61" t="s">
        <v>4</v>
      </c>
      <c r="C87" s="134" t="s">
        <v>35</v>
      </c>
      <c r="D87" s="133"/>
      <c r="E87" s="61" t="s">
        <v>11</v>
      </c>
      <c r="F87" s="228" t="s">
        <v>12</v>
      </c>
      <c r="G87" s="229"/>
      <c r="H87" s="151"/>
    </row>
    <row r="88" spans="2:8" s="43" customFormat="1" ht="27" x14ac:dyDescent="0.3">
      <c r="B88" s="40" t="s">
        <v>66</v>
      </c>
      <c r="C88" s="41">
        <v>6</v>
      </c>
      <c r="D88" s="125" t="str">
        <f xml:space="preserve"> IF(C88="","",setValueToTime(C88))</f>
        <v xml:space="preserve"> 30 min</v>
      </c>
      <c r="E88" s="173" t="s">
        <v>204</v>
      </c>
      <c r="F88" s="220"/>
      <c r="G88" s="221"/>
      <c r="H88" s="152"/>
    </row>
    <row r="89" spans="2:8" s="43" customFormat="1" ht="27" x14ac:dyDescent="0.3">
      <c r="B89" s="177" t="s">
        <v>66</v>
      </c>
      <c r="C89" s="45">
        <v>18</v>
      </c>
      <c r="D89" s="126" t="str">
        <f t="shared" ref="D89:D95" si="8" xml:space="preserve"> IF(C89="","",setValueToTime(C89))</f>
        <v>1h 30 min</v>
      </c>
      <c r="E89" s="170" t="s">
        <v>207</v>
      </c>
      <c r="F89" s="222"/>
      <c r="G89" s="223"/>
      <c r="H89" s="152"/>
    </row>
    <row r="90" spans="2:8" s="43" customFormat="1" ht="39.75" x14ac:dyDescent="0.3">
      <c r="B90" s="44" t="s">
        <v>43</v>
      </c>
      <c r="C90" s="45">
        <v>5</v>
      </c>
      <c r="D90" s="126" t="str">
        <f t="shared" ref="D90" si="9" xml:space="preserve"> IF(C90="","",setValueToTime(C90))</f>
        <v xml:space="preserve"> 25 min</v>
      </c>
      <c r="E90" s="170" t="s">
        <v>205</v>
      </c>
      <c r="F90" s="222"/>
      <c r="G90" s="223"/>
      <c r="H90" s="152"/>
    </row>
    <row r="91" spans="2:8" s="43" customFormat="1" x14ac:dyDescent="0.3">
      <c r="B91" s="44" t="s">
        <v>61</v>
      </c>
      <c r="C91" s="45">
        <v>6</v>
      </c>
      <c r="D91" s="126" t="str">
        <f t="shared" si="8"/>
        <v xml:space="preserve"> 30 min</v>
      </c>
      <c r="E91" s="170" t="s">
        <v>206</v>
      </c>
      <c r="F91" s="222"/>
      <c r="G91" s="223"/>
      <c r="H91" s="152"/>
    </row>
    <row r="92" spans="2:8" s="43" customFormat="1" x14ac:dyDescent="0.3">
      <c r="B92" s="45"/>
      <c r="C92" s="45"/>
      <c r="D92" s="127" t="str">
        <f t="shared" si="8"/>
        <v/>
      </c>
      <c r="E92" s="46"/>
      <c r="F92" s="222"/>
      <c r="G92" s="223"/>
      <c r="H92" s="152"/>
    </row>
    <row r="93" spans="2:8" s="43" customFormat="1" x14ac:dyDescent="0.3">
      <c r="B93" s="45"/>
      <c r="C93" s="45"/>
      <c r="D93" s="127" t="str">
        <f t="shared" si="8"/>
        <v/>
      </c>
      <c r="E93" s="46"/>
      <c r="F93" s="222"/>
      <c r="G93" s="223"/>
      <c r="H93" s="152"/>
    </row>
    <row r="94" spans="2:8" s="43" customFormat="1" x14ac:dyDescent="0.3">
      <c r="B94" s="45"/>
      <c r="C94" s="45"/>
      <c r="D94" s="127" t="str">
        <f t="shared" si="8"/>
        <v/>
      </c>
      <c r="E94" s="46"/>
      <c r="F94" s="222"/>
      <c r="G94" s="223"/>
      <c r="H94" s="152"/>
    </row>
    <row r="95" spans="2:8" s="43" customFormat="1" ht="27.75" thickBot="1" x14ac:dyDescent="0.35">
      <c r="B95" s="47" t="s">
        <v>41</v>
      </c>
      <c r="C95" s="47">
        <v>3</v>
      </c>
      <c r="D95" s="128" t="str">
        <f t="shared" si="8"/>
        <v xml:space="preserve"> 15 min</v>
      </c>
      <c r="E95" s="178" t="s">
        <v>208</v>
      </c>
      <c r="F95" s="226"/>
      <c r="G95" s="227"/>
      <c r="H95" s="152"/>
    </row>
    <row r="96" spans="2:8" s="43" customFormat="1" ht="15" thickBot="1" x14ac:dyDescent="0.35">
      <c r="B96" s="135" t="s">
        <v>25</v>
      </c>
      <c r="C96" s="66">
        <f>SUM(C88:C95)</f>
        <v>38</v>
      </c>
      <c r="D96" s="135" t="str">
        <f xml:space="preserve"> setValueToTime(C96)</f>
        <v>3h 10 min</v>
      </c>
      <c r="E96" s="96"/>
      <c r="F96" s="230"/>
      <c r="G96" s="231"/>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8</v>
      </c>
      <c r="D98" s="137"/>
      <c r="E98" s="130" t="s">
        <v>13</v>
      </c>
      <c r="F98" s="131" t="s">
        <v>124</v>
      </c>
      <c r="G98" s="132" t="s">
        <v>74</v>
      </c>
      <c r="H98" s="151"/>
    </row>
    <row r="99" spans="2:8" s="39" customFormat="1" ht="30" customHeight="1" thickBot="1" x14ac:dyDescent="0.3">
      <c r="B99" s="61" t="s">
        <v>4</v>
      </c>
      <c r="C99" s="134" t="s">
        <v>35</v>
      </c>
      <c r="D99" s="133"/>
      <c r="E99" s="61" t="s">
        <v>11</v>
      </c>
      <c r="F99" s="228" t="s">
        <v>12</v>
      </c>
      <c r="G99" s="229"/>
      <c r="H99" s="151"/>
    </row>
    <row r="100" spans="2:8" s="43" customFormat="1" ht="27" x14ac:dyDescent="0.3">
      <c r="B100" s="40" t="s">
        <v>59</v>
      </c>
      <c r="C100" s="41">
        <v>2</v>
      </c>
      <c r="D100" s="125" t="str">
        <f xml:space="preserve"> IF(C100="","",setValueToTime(C100))</f>
        <v xml:space="preserve"> 10 min</v>
      </c>
      <c r="E100" s="173" t="s">
        <v>198</v>
      </c>
      <c r="F100" s="220"/>
      <c r="G100" s="221"/>
      <c r="H100" s="152"/>
    </row>
    <row r="101" spans="2:8" s="43" customFormat="1" ht="27" x14ac:dyDescent="0.3">
      <c r="B101" s="44" t="s">
        <v>59</v>
      </c>
      <c r="C101" s="45">
        <v>9</v>
      </c>
      <c r="D101" s="126" t="str">
        <f t="shared" ref="D101:D107" si="10" xml:space="preserve"> IF(C101="","",setValueToTime(C101))</f>
        <v xml:space="preserve"> 45 min</v>
      </c>
      <c r="E101" s="170" t="s">
        <v>202</v>
      </c>
      <c r="F101" s="222"/>
      <c r="G101" s="223"/>
      <c r="H101" s="152"/>
    </row>
    <row r="102" spans="2:8" s="43" customFormat="1" ht="27" x14ac:dyDescent="0.3">
      <c r="B102" s="44" t="s">
        <v>60</v>
      </c>
      <c r="C102" s="45">
        <v>3</v>
      </c>
      <c r="D102" s="126" t="str">
        <f t="shared" si="10"/>
        <v xml:space="preserve"> 15 min</v>
      </c>
      <c r="E102" s="170" t="s">
        <v>201</v>
      </c>
      <c r="F102" s="222"/>
      <c r="G102" s="223"/>
      <c r="H102" s="152"/>
    </row>
    <row r="103" spans="2:8" s="43" customFormat="1" ht="27" x14ac:dyDescent="0.3">
      <c r="B103" s="44" t="s">
        <v>66</v>
      </c>
      <c r="C103" s="45">
        <v>28</v>
      </c>
      <c r="D103" s="126" t="str">
        <f t="shared" si="10"/>
        <v>2h 20 min</v>
      </c>
      <c r="E103" s="170" t="s">
        <v>199</v>
      </c>
      <c r="F103" s="222"/>
      <c r="G103" s="223"/>
      <c r="H103" s="152"/>
    </row>
    <row r="104" spans="2:8" s="43" customFormat="1" x14ac:dyDescent="0.3">
      <c r="B104" s="45" t="s">
        <v>61</v>
      </c>
      <c r="C104" s="45">
        <v>4</v>
      </c>
      <c r="D104" s="127" t="str">
        <f t="shared" si="10"/>
        <v xml:space="preserve"> 20 min</v>
      </c>
      <c r="E104" s="170" t="s">
        <v>200</v>
      </c>
      <c r="F104" s="222"/>
      <c r="G104" s="223"/>
      <c r="H104" s="152"/>
    </row>
    <row r="105" spans="2:8" s="43" customFormat="1" x14ac:dyDescent="0.3">
      <c r="B105" s="45"/>
      <c r="C105" s="45"/>
      <c r="D105" s="127" t="str">
        <f t="shared" si="10"/>
        <v/>
      </c>
      <c r="E105" s="46"/>
      <c r="F105" s="222"/>
      <c r="G105" s="223"/>
      <c r="H105" s="152"/>
    </row>
    <row r="106" spans="2:8" s="43" customFormat="1" x14ac:dyDescent="0.3">
      <c r="B106" s="45"/>
      <c r="C106" s="45"/>
      <c r="D106" s="127" t="str">
        <f t="shared" si="10"/>
        <v/>
      </c>
      <c r="E106" s="46"/>
      <c r="F106" s="222"/>
      <c r="G106" s="223"/>
      <c r="H106" s="152"/>
    </row>
    <row r="107" spans="2:8" s="43" customFormat="1" ht="27.75" thickBot="1" x14ac:dyDescent="0.35">
      <c r="B107" s="47" t="s">
        <v>41</v>
      </c>
      <c r="C107" s="47">
        <v>2</v>
      </c>
      <c r="D107" s="127" t="str">
        <f t="shared" si="10"/>
        <v xml:space="preserve"> 10 min</v>
      </c>
      <c r="E107" s="48" t="s">
        <v>73</v>
      </c>
      <c r="F107" s="226"/>
      <c r="G107" s="227"/>
      <c r="H107" s="152"/>
    </row>
    <row r="108" spans="2:8" s="43" customFormat="1" ht="15" thickBot="1" x14ac:dyDescent="0.35">
      <c r="B108" s="135" t="s">
        <v>25</v>
      </c>
      <c r="C108" s="66">
        <f>SUM(C100:C107)</f>
        <v>48</v>
      </c>
      <c r="D108" s="135" t="str">
        <f xml:space="preserve"> setValueToTime(C108)</f>
        <v>4h</v>
      </c>
      <c r="E108" s="96"/>
      <c r="F108" s="230"/>
      <c r="G108" s="231"/>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7</v>
      </c>
      <c r="D110" s="137"/>
      <c r="E110" s="130" t="s">
        <v>13</v>
      </c>
      <c r="F110" s="131" t="s">
        <v>125</v>
      </c>
      <c r="G110" s="132" t="s">
        <v>76</v>
      </c>
      <c r="H110" s="151"/>
    </row>
    <row r="111" spans="2:8" s="39" customFormat="1" ht="30" customHeight="1" thickBot="1" x14ac:dyDescent="0.3">
      <c r="B111" s="61" t="s">
        <v>4</v>
      </c>
      <c r="C111" s="134" t="s">
        <v>35</v>
      </c>
      <c r="D111" s="133"/>
      <c r="E111" s="61" t="s">
        <v>11</v>
      </c>
      <c r="F111" s="228" t="s">
        <v>12</v>
      </c>
      <c r="G111" s="229"/>
      <c r="H111" s="151"/>
    </row>
    <row r="112" spans="2:8" s="43" customFormat="1" ht="27" x14ac:dyDescent="0.3">
      <c r="B112" s="40" t="s">
        <v>55</v>
      </c>
      <c r="C112" s="41">
        <v>6</v>
      </c>
      <c r="D112" s="125" t="str">
        <f xml:space="preserve"> IF(C112="","",setValueToTime(C112))</f>
        <v xml:space="preserve"> 30 min</v>
      </c>
      <c r="E112" s="170" t="s">
        <v>193</v>
      </c>
      <c r="F112" s="220"/>
      <c r="G112" s="221"/>
      <c r="H112" s="152"/>
    </row>
    <row r="113" spans="2:8" s="43" customFormat="1" ht="27" x14ac:dyDescent="0.3">
      <c r="B113" s="44" t="s">
        <v>55</v>
      </c>
      <c r="C113" s="45">
        <v>4</v>
      </c>
      <c r="D113" s="126" t="str">
        <f t="shared" ref="D113:D120" si="11" xml:space="preserve"> IF(C113="","",setValueToTime(C113))</f>
        <v xml:space="preserve"> 20 min</v>
      </c>
      <c r="E113" s="170" t="s">
        <v>192</v>
      </c>
      <c r="F113" s="222"/>
      <c r="G113" s="223"/>
      <c r="H113" s="152"/>
    </row>
    <row r="114" spans="2:8" s="43" customFormat="1" ht="27" x14ac:dyDescent="0.3">
      <c r="B114" s="44" t="s">
        <v>55</v>
      </c>
      <c r="C114" s="45">
        <v>5</v>
      </c>
      <c r="D114" s="126" t="str">
        <f t="shared" si="11"/>
        <v xml:space="preserve"> 25 min</v>
      </c>
      <c r="E114" s="170" t="s">
        <v>191</v>
      </c>
      <c r="F114" s="222"/>
      <c r="G114" s="223"/>
      <c r="H114" s="152"/>
    </row>
    <row r="115" spans="2:8" s="43" customFormat="1" ht="27" x14ac:dyDescent="0.3">
      <c r="B115" s="44" t="s">
        <v>55</v>
      </c>
      <c r="C115" s="45">
        <v>3</v>
      </c>
      <c r="D115" s="126" t="str">
        <f t="shared" si="11"/>
        <v xml:space="preserve"> 15 min</v>
      </c>
      <c r="E115" s="170" t="s">
        <v>194</v>
      </c>
      <c r="F115" s="222"/>
      <c r="G115" s="223"/>
      <c r="H115" s="152"/>
    </row>
    <row r="116" spans="2:8" s="43" customFormat="1" ht="27" x14ac:dyDescent="0.3">
      <c r="B116" s="45" t="s">
        <v>50</v>
      </c>
      <c r="C116" s="45">
        <v>1</v>
      </c>
      <c r="D116" s="127" t="str">
        <f t="shared" si="11"/>
        <v xml:space="preserve"> 5 min</v>
      </c>
      <c r="E116" s="170" t="s">
        <v>196</v>
      </c>
      <c r="F116" s="222"/>
      <c r="G116" s="223"/>
      <c r="H116" s="152"/>
    </row>
    <row r="117" spans="2:8" s="43" customFormat="1" ht="27" x14ac:dyDescent="0.3">
      <c r="B117" s="45" t="s">
        <v>50</v>
      </c>
      <c r="C117" s="45">
        <v>1</v>
      </c>
      <c r="D117" s="127" t="str">
        <f t="shared" si="11"/>
        <v xml:space="preserve"> 5 min</v>
      </c>
      <c r="E117" s="170" t="s">
        <v>203</v>
      </c>
      <c r="F117" s="175"/>
      <c r="G117" s="176"/>
      <c r="H117" s="152"/>
    </row>
    <row r="118" spans="2:8" s="43" customFormat="1" ht="27" x14ac:dyDescent="0.3">
      <c r="B118" s="45" t="s">
        <v>60</v>
      </c>
      <c r="C118" s="45">
        <v>1</v>
      </c>
      <c r="D118" s="127" t="str">
        <f t="shared" si="11"/>
        <v xml:space="preserve"> 5 min</v>
      </c>
      <c r="E118" s="170" t="s">
        <v>195</v>
      </c>
      <c r="F118" s="222"/>
      <c r="G118" s="223"/>
      <c r="H118" s="152"/>
    </row>
    <row r="119" spans="2:8" s="43" customFormat="1" ht="27" x14ac:dyDescent="0.3">
      <c r="B119" s="45" t="s">
        <v>60</v>
      </c>
      <c r="C119" s="45">
        <v>16</v>
      </c>
      <c r="D119" s="127" t="str">
        <f t="shared" si="11"/>
        <v>1h 20 min</v>
      </c>
      <c r="E119" s="170" t="s">
        <v>197</v>
      </c>
      <c r="F119" s="222"/>
      <c r="G119" s="223"/>
      <c r="H119" s="152"/>
    </row>
    <row r="120" spans="2:8" s="43" customFormat="1" ht="27.75" thickBot="1" x14ac:dyDescent="0.35">
      <c r="B120" s="47" t="s">
        <v>41</v>
      </c>
      <c r="C120" s="47">
        <v>1</v>
      </c>
      <c r="D120" s="127" t="str">
        <f t="shared" si="11"/>
        <v xml:space="preserve"> 5 min</v>
      </c>
      <c r="E120" s="48" t="s">
        <v>73</v>
      </c>
      <c r="F120" s="226"/>
      <c r="G120" s="227"/>
      <c r="H120" s="152"/>
    </row>
    <row r="121" spans="2:8" s="43" customFormat="1" ht="15" thickBot="1" x14ac:dyDescent="0.35">
      <c r="B121" s="135" t="s">
        <v>25</v>
      </c>
      <c r="C121" s="66">
        <f>SUM(C112:C120)</f>
        <v>38</v>
      </c>
      <c r="D121" s="135" t="str">
        <f xml:space="preserve"> setValueToTime(C121)</f>
        <v>3h 10 min</v>
      </c>
      <c r="E121" s="96"/>
      <c r="F121" s="230"/>
      <c r="G121" s="231"/>
      <c r="H121" s="152"/>
    </row>
    <row r="122" spans="2:8" s="43" customFormat="1" ht="15" thickBot="1" x14ac:dyDescent="0.35">
      <c r="B122" s="60"/>
      <c r="C122" s="60"/>
      <c r="D122" s="60"/>
      <c r="E122" s="60"/>
      <c r="F122" s="60"/>
      <c r="G122" s="60"/>
      <c r="H122" s="152"/>
    </row>
    <row r="123" spans="2:8" s="39" customFormat="1" ht="30" customHeight="1" thickBot="1" x14ac:dyDescent="0.3">
      <c r="B123" s="129" t="s">
        <v>10</v>
      </c>
      <c r="C123" s="137">
        <v>6</v>
      </c>
      <c r="D123" s="137"/>
      <c r="E123" s="130" t="s">
        <v>13</v>
      </c>
      <c r="F123" s="131" t="s">
        <v>125</v>
      </c>
      <c r="G123" s="132" t="s">
        <v>74</v>
      </c>
      <c r="H123" s="151"/>
    </row>
    <row r="124" spans="2:8" s="39" customFormat="1" ht="30" customHeight="1" thickBot="1" x14ac:dyDescent="0.3">
      <c r="B124" s="61" t="s">
        <v>4</v>
      </c>
      <c r="C124" s="134" t="s">
        <v>35</v>
      </c>
      <c r="D124" s="133"/>
      <c r="E124" s="61" t="s">
        <v>11</v>
      </c>
      <c r="F124" s="228" t="s">
        <v>12</v>
      </c>
      <c r="G124" s="229"/>
      <c r="H124" s="151"/>
    </row>
    <row r="125" spans="2:8" s="43" customFormat="1" ht="27" x14ac:dyDescent="0.3">
      <c r="B125" s="40" t="s">
        <v>55</v>
      </c>
      <c r="C125" s="41">
        <v>11</v>
      </c>
      <c r="D125" s="125" t="str">
        <f xml:space="preserve"> IF(C125="","",setValueToTime(C125))</f>
        <v xml:space="preserve"> 55 min</v>
      </c>
      <c r="E125" s="170" t="s">
        <v>188</v>
      </c>
      <c r="F125" s="232" t="s">
        <v>187</v>
      </c>
      <c r="G125" s="233"/>
      <c r="H125" s="152"/>
    </row>
    <row r="126" spans="2:8" s="43" customFormat="1" ht="27" x14ac:dyDescent="0.3">
      <c r="B126" s="44" t="s">
        <v>55</v>
      </c>
      <c r="C126" s="45">
        <v>5</v>
      </c>
      <c r="D126" s="126" t="str">
        <f t="shared" ref="D126:D132" si="12" xml:space="preserve"> IF(C126="","",setValueToTime(C126))</f>
        <v xml:space="preserve"> 25 min</v>
      </c>
      <c r="E126" s="170" t="s">
        <v>189</v>
      </c>
      <c r="F126" s="222"/>
      <c r="G126" s="223"/>
      <c r="H126" s="152"/>
    </row>
    <row r="127" spans="2:8" s="43" customFormat="1" ht="27" x14ac:dyDescent="0.3">
      <c r="B127" s="44" t="s">
        <v>55</v>
      </c>
      <c r="C127" s="45">
        <v>31</v>
      </c>
      <c r="D127" s="126" t="str">
        <f t="shared" si="12"/>
        <v>2h 35 min</v>
      </c>
      <c r="E127" s="170" t="s">
        <v>190</v>
      </c>
      <c r="F127" s="222"/>
      <c r="G127" s="223"/>
      <c r="H127" s="152"/>
    </row>
    <row r="128" spans="2:8" s="43" customFormat="1" x14ac:dyDescent="0.3">
      <c r="B128" s="44"/>
      <c r="C128" s="45"/>
      <c r="D128" s="126" t="str">
        <f t="shared" si="12"/>
        <v/>
      </c>
      <c r="E128" s="46"/>
      <c r="F128" s="222"/>
      <c r="G128" s="223"/>
      <c r="H128" s="152"/>
    </row>
    <row r="129" spans="2:8" s="43" customFormat="1" x14ac:dyDescent="0.3">
      <c r="B129" s="45"/>
      <c r="C129" s="45"/>
      <c r="D129" s="127" t="str">
        <f t="shared" si="12"/>
        <v/>
      </c>
      <c r="E129" s="46"/>
      <c r="F129" s="222"/>
      <c r="G129" s="223"/>
      <c r="H129" s="152"/>
    </row>
    <row r="130" spans="2:8" s="43" customFormat="1" x14ac:dyDescent="0.3">
      <c r="B130" s="45"/>
      <c r="C130" s="45"/>
      <c r="D130" s="127" t="str">
        <f t="shared" si="12"/>
        <v/>
      </c>
      <c r="E130" s="46"/>
      <c r="F130" s="222"/>
      <c r="G130" s="223"/>
      <c r="H130" s="152"/>
    </row>
    <row r="131" spans="2:8" s="43" customFormat="1" x14ac:dyDescent="0.3">
      <c r="B131" s="45"/>
      <c r="C131" s="45"/>
      <c r="D131" s="127" t="str">
        <f t="shared" si="12"/>
        <v/>
      </c>
      <c r="E131" s="46"/>
      <c r="F131" s="222"/>
      <c r="G131" s="223"/>
      <c r="H131" s="152"/>
    </row>
    <row r="132" spans="2:8" s="43" customFormat="1" ht="27.75" thickBot="1" x14ac:dyDescent="0.35">
      <c r="B132" s="47" t="s">
        <v>41</v>
      </c>
      <c r="C132" s="47">
        <v>1</v>
      </c>
      <c r="D132" s="127" t="str">
        <f t="shared" si="12"/>
        <v xml:space="preserve"> 5 min</v>
      </c>
      <c r="E132" s="48" t="s">
        <v>73</v>
      </c>
      <c r="F132" s="226"/>
      <c r="G132" s="227"/>
      <c r="H132" s="152"/>
    </row>
    <row r="133" spans="2:8" s="43" customFormat="1" ht="15" thickBot="1" x14ac:dyDescent="0.35">
      <c r="B133" s="135" t="s">
        <v>25</v>
      </c>
      <c r="C133" s="66">
        <f>SUM(C125:C132)</f>
        <v>48</v>
      </c>
      <c r="D133" s="135" t="str">
        <f xml:space="preserve"> setValueToTime(C133)</f>
        <v>4h</v>
      </c>
      <c r="E133" s="96"/>
      <c r="F133" s="230"/>
      <c r="G133" s="231"/>
      <c r="H133" s="152"/>
    </row>
    <row r="134" spans="2:8" s="43" customFormat="1" ht="15" thickBot="1" x14ac:dyDescent="0.35">
      <c r="B134" s="60"/>
      <c r="C134" s="60"/>
      <c r="D134" s="60"/>
      <c r="E134" s="60"/>
      <c r="F134" s="60"/>
      <c r="G134" s="60"/>
      <c r="H134" s="152"/>
    </row>
    <row r="135" spans="2:8" s="39" customFormat="1" ht="30" customHeight="1" thickBot="1" x14ac:dyDescent="0.3">
      <c r="B135" s="129" t="s">
        <v>10</v>
      </c>
      <c r="C135" s="137">
        <v>5</v>
      </c>
      <c r="D135" s="137"/>
      <c r="E135" s="130" t="s">
        <v>13</v>
      </c>
      <c r="F135" s="131" t="s">
        <v>126</v>
      </c>
      <c r="G135" s="132" t="s">
        <v>74</v>
      </c>
      <c r="H135" s="151"/>
    </row>
    <row r="136" spans="2:8" s="39" customFormat="1" ht="30" customHeight="1" thickBot="1" x14ac:dyDescent="0.3">
      <c r="B136" s="61" t="s">
        <v>4</v>
      </c>
      <c r="C136" s="134" t="s">
        <v>35</v>
      </c>
      <c r="D136" s="133"/>
      <c r="E136" s="61" t="s">
        <v>11</v>
      </c>
      <c r="F136" s="228" t="s">
        <v>12</v>
      </c>
      <c r="G136" s="229"/>
      <c r="H136" s="151"/>
    </row>
    <row r="137" spans="2:8" s="43" customFormat="1" ht="27" x14ac:dyDescent="0.3">
      <c r="B137" s="44" t="s">
        <v>55</v>
      </c>
      <c r="C137" s="45">
        <v>9</v>
      </c>
      <c r="D137" s="127" t="str">
        <f t="shared" ref="D137:D144" si="13" xml:space="preserve"> IF(C137="","",setValueToTime(C137))</f>
        <v xml:space="preserve"> 45 min</v>
      </c>
      <c r="E137" s="170" t="s">
        <v>185</v>
      </c>
      <c r="F137" s="220"/>
      <c r="G137" s="221"/>
      <c r="H137" s="152"/>
    </row>
    <row r="138" spans="2:8" s="43" customFormat="1" ht="40.5" x14ac:dyDescent="0.3">
      <c r="B138" s="44" t="s">
        <v>43</v>
      </c>
      <c r="C138" s="45">
        <v>9</v>
      </c>
      <c r="D138" s="127" t="str">
        <f t="shared" si="13"/>
        <v xml:space="preserve"> 45 min</v>
      </c>
      <c r="E138" s="170" t="s">
        <v>182</v>
      </c>
      <c r="F138" s="222"/>
      <c r="G138" s="223"/>
      <c r="H138" s="152"/>
    </row>
    <row r="139" spans="2:8" s="43" customFormat="1" ht="27" x14ac:dyDescent="0.3">
      <c r="B139" s="44" t="s">
        <v>56</v>
      </c>
      <c r="C139" s="45">
        <v>5</v>
      </c>
      <c r="D139" s="127" t="str">
        <f t="shared" si="13"/>
        <v xml:space="preserve"> 25 min</v>
      </c>
      <c r="E139" s="170" t="s">
        <v>184</v>
      </c>
      <c r="F139" s="222"/>
      <c r="G139" s="223"/>
      <c r="H139" s="152"/>
    </row>
    <row r="140" spans="2:8" s="43" customFormat="1" ht="27" x14ac:dyDescent="0.3">
      <c r="B140" s="44" t="s">
        <v>55</v>
      </c>
      <c r="C140" s="45">
        <v>4</v>
      </c>
      <c r="D140" s="127" t="str">
        <f t="shared" si="13"/>
        <v xml:space="preserve"> 20 min</v>
      </c>
      <c r="E140" s="170" t="s">
        <v>186</v>
      </c>
      <c r="F140" s="222"/>
      <c r="G140" s="223"/>
      <c r="H140" s="152"/>
    </row>
    <row r="141" spans="2:8" s="43" customFormat="1" x14ac:dyDescent="0.3">
      <c r="B141" s="45"/>
      <c r="C141" s="45"/>
      <c r="D141" s="127" t="str">
        <f t="shared" si="13"/>
        <v/>
      </c>
      <c r="E141" s="46"/>
      <c r="F141" s="222"/>
      <c r="G141" s="223"/>
      <c r="H141" s="152"/>
    </row>
    <row r="142" spans="2:8" s="43" customFormat="1" x14ac:dyDescent="0.3">
      <c r="B142" s="45"/>
      <c r="C142" s="45"/>
      <c r="D142" s="127" t="str">
        <f t="shared" si="13"/>
        <v/>
      </c>
      <c r="E142" s="46"/>
      <c r="F142" s="222"/>
      <c r="G142" s="223"/>
      <c r="H142" s="152"/>
    </row>
    <row r="143" spans="2:8" s="43" customFormat="1" x14ac:dyDescent="0.3">
      <c r="B143" s="45"/>
      <c r="C143" s="45"/>
      <c r="D143" s="127" t="str">
        <f t="shared" si="13"/>
        <v/>
      </c>
      <c r="E143" s="46"/>
      <c r="F143" s="222"/>
      <c r="G143" s="223"/>
      <c r="H143" s="152"/>
    </row>
    <row r="144" spans="2:8" s="43" customFormat="1" ht="27.75" thickBot="1" x14ac:dyDescent="0.35">
      <c r="B144" s="47" t="s">
        <v>41</v>
      </c>
      <c r="C144" s="47">
        <v>1</v>
      </c>
      <c r="D144" s="127" t="str">
        <f t="shared" si="13"/>
        <v xml:space="preserve"> 5 min</v>
      </c>
      <c r="E144" s="48" t="s">
        <v>73</v>
      </c>
      <c r="F144" s="226"/>
      <c r="G144" s="227"/>
      <c r="H144" s="152"/>
    </row>
    <row r="145" spans="2:8" s="43" customFormat="1" ht="15" thickBot="1" x14ac:dyDescent="0.35">
      <c r="B145" s="135" t="s">
        <v>25</v>
      </c>
      <c r="C145" s="66">
        <f>SUM(C137:C144)</f>
        <v>28</v>
      </c>
      <c r="D145" s="135" t="str">
        <f xml:space="preserve"> setValueToTime(C145)</f>
        <v>2h 20 min</v>
      </c>
      <c r="E145" s="96"/>
      <c r="F145" s="230"/>
      <c r="G145" s="231"/>
      <c r="H145" s="152"/>
    </row>
    <row r="146" spans="2:8" s="43" customFormat="1" ht="15" thickBot="1" x14ac:dyDescent="0.35">
      <c r="B146" s="60"/>
      <c r="C146" s="60"/>
      <c r="D146" s="60"/>
      <c r="E146" s="60"/>
      <c r="F146" s="60"/>
      <c r="G146" s="60"/>
      <c r="H146" s="152"/>
    </row>
    <row r="147" spans="2:8" s="39" customFormat="1" ht="30" customHeight="1" thickBot="1" x14ac:dyDescent="0.3">
      <c r="B147" s="129" t="s">
        <v>10</v>
      </c>
      <c r="C147" s="137">
        <v>4</v>
      </c>
      <c r="D147" s="137"/>
      <c r="E147" s="130" t="s">
        <v>13</v>
      </c>
      <c r="F147" s="131" t="s">
        <v>127</v>
      </c>
      <c r="G147" s="132" t="s">
        <v>76</v>
      </c>
      <c r="H147" s="151"/>
    </row>
    <row r="148" spans="2:8" s="39" customFormat="1" ht="30" customHeight="1" thickBot="1" x14ac:dyDescent="0.3">
      <c r="B148" s="61" t="s">
        <v>4</v>
      </c>
      <c r="C148" s="134" t="s">
        <v>35</v>
      </c>
      <c r="D148" s="133"/>
      <c r="E148" s="61" t="s">
        <v>11</v>
      </c>
      <c r="F148" s="228" t="s">
        <v>12</v>
      </c>
      <c r="G148" s="229"/>
      <c r="H148" s="151"/>
    </row>
    <row r="149" spans="2:8" s="43" customFormat="1" ht="27" x14ac:dyDescent="0.3">
      <c r="B149" s="45" t="s">
        <v>56</v>
      </c>
      <c r="C149" s="45">
        <v>27</v>
      </c>
      <c r="D149" s="127" t="str">
        <f t="shared" ref="D149" si="14" xml:space="preserve"> IF(C149="","",setValueToTime(C149))</f>
        <v>2h 15 min</v>
      </c>
      <c r="E149" s="170" t="s">
        <v>181</v>
      </c>
      <c r="F149" s="232" t="s">
        <v>172</v>
      </c>
      <c r="G149" s="233"/>
      <c r="H149" s="152"/>
    </row>
    <row r="150" spans="2:8" s="43" customFormat="1" x14ac:dyDescent="0.3">
      <c r="B150" s="44"/>
      <c r="C150" s="45"/>
      <c r="D150" s="126" t="str">
        <f t="shared" ref="D150:D155" si="15" xml:space="preserve"> IF(C150="","",setValueToTime(C150))</f>
        <v/>
      </c>
      <c r="E150" s="46"/>
      <c r="F150" s="222"/>
      <c r="G150" s="223"/>
      <c r="H150" s="152"/>
    </row>
    <row r="151" spans="2:8" s="43" customFormat="1" x14ac:dyDescent="0.3">
      <c r="B151" s="44"/>
      <c r="C151" s="45"/>
      <c r="D151" s="126" t="str">
        <f t="shared" si="15"/>
        <v/>
      </c>
      <c r="E151" s="46"/>
      <c r="F151" s="222"/>
      <c r="G151" s="223"/>
      <c r="H151" s="152"/>
    </row>
    <row r="152" spans="2:8" s="43" customFormat="1" x14ac:dyDescent="0.3">
      <c r="B152" s="44"/>
      <c r="C152" s="45"/>
      <c r="D152" s="126" t="str">
        <f t="shared" si="15"/>
        <v/>
      </c>
      <c r="E152" s="46"/>
      <c r="F152" s="222"/>
      <c r="G152" s="223"/>
      <c r="H152" s="152"/>
    </row>
    <row r="153" spans="2:8" s="43" customFormat="1" x14ac:dyDescent="0.3">
      <c r="B153" s="45"/>
      <c r="C153" s="45"/>
      <c r="D153" s="127" t="str">
        <f t="shared" si="15"/>
        <v/>
      </c>
      <c r="E153" s="46"/>
      <c r="F153" s="222"/>
      <c r="G153" s="223"/>
      <c r="H153" s="152"/>
    </row>
    <row r="154" spans="2:8" s="43" customFormat="1" x14ac:dyDescent="0.3">
      <c r="B154" s="45"/>
      <c r="C154" s="45"/>
      <c r="D154" s="127" t="str">
        <f t="shared" si="15"/>
        <v/>
      </c>
      <c r="E154" s="46"/>
      <c r="F154" s="222"/>
      <c r="G154" s="223"/>
      <c r="H154" s="152"/>
    </row>
    <row r="155" spans="2:8" s="43" customFormat="1" x14ac:dyDescent="0.3">
      <c r="B155" s="45"/>
      <c r="C155" s="45"/>
      <c r="D155" s="127" t="str">
        <f t="shared" si="15"/>
        <v/>
      </c>
      <c r="E155" s="46"/>
      <c r="F155" s="222"/>
      <c r="G155" s="223"/>
      <c r="H155" s="152"/>
    </row>
    <row r="156" spans="2:8" s="43" customFormat="1" ht="27.75" thickBot="1" x14ac:dyDescent="0.35">
      <c r="B156" s="47" t="s">
        <v>41</v>
      </c>
      <c r="C156" s="47">
        <v>1</v>
      </c>
      <c r="D156" s="128" t="s">
        <v>72</v>
      </c>
      <c r="E156" s="48" t="s">
        <v>73</v>
      </c>
      <c r="F156" s="226"/>
      <c r="G156" s="227"/>
      <c r="H156" s="152"/>
    </row>
    <row r="157" spans="2:8" s="43" customFormat="1" ht="15" thickBot="1" x14ac:dyDescent="0.35">
      <c r="B157" s="135" t="s">
        <v>25</v>
      </c>
      <c r="C157" s="66">
        <f>SUM(C149:C156)</f>
        <v>28</v>
      </c>
      <c r="D157" s="135" t="str">
        <f xml:space="preserve"> setValueToTime(C157)</f>
        <v>2h 20 min</v>
      </c>
      <c r="E157" s="96"/>
      <c r="F157" s="230"/>
      <c r="G157" s="231"/>
      <c r="H157" s="152"/>
    </row>
    <row r="158" spans="2:8" s="43" customFormat="1" ht="15" thickBot="1" x14ac:dyDescent="0.35">
      <c r="B158" s="60"/>
      <c r="C158" s="60"/>
      <c r="D158" s="60"/>
      <c r="E158" s="60"/>
      <c r="F158" s="60"/>
      <c r="G158" s="60"/>
      <c r="H158" s="152"/>
    </row>
    <row r="159" spans="2:8" s="39" customFormat="1" ht="30" customHeight="1" thickBot="1" x14ac:dyDescent="0.3">
      <c r="B159" s="129" t="s">
        <v>10</v>
      </c>
      <c r="C159" s="137">
        <v>3</v>
      </c>
      <c r="D159" s="137"/>
      <c r="E159" s="130" t="s">
        <v>13</v>
      </c>
      <c r="F159" s="131" t="s">
        <v>127</v>
      </c>
      <c r="G159" s="132" t="s">
        <v>74</v>
      </c>
      <c r="H159" s="151"/>
    </row>
    <row r="160" spans="2:8" s="39" customFormat="1" ht="30" customHeight="1" thickBot="1" x14ac:dyDescent="0.3">
      <c r="B160" s="61" t="s">
        <v>4</v>
      </c>
      <c r="C160" s="134" t="s">
        <v>35</v>
      </c>
      <c r="D160" s="133"/>
      <c r="E160" s="61" t="s">
        <v>11</v>
      </c>
      <c r="F160" s="228" t="s">
        <v>12</v>
      </c>
      <c r="G160" s="229"/>
      <c r="H160" s="151"/>
    </row>
    <row r="161" spans="2:8" s="43" customFormat="1" x14ac:dyDescent="0.3">
      <c r="B161" s="40" t="s">
        <v>42</v>
      </c>
      <c r="C161" s="41">
        <v>20</v>
      </c>
      <c r="D161" s="125" t="str">
        <f xml:space="preserve"> IF(C161="","",setValueToTime(C161))</f>
        <v>1h 40 min</v>
      </c>
      <c r="E161" s="173" t="s">
        <v>169</v>
      </c>
      <c r="F161" s="220"/>
      <c r="G161" s="221"/>
      <c r="H161" s="152"/>
    </row>
    <row r="162" spans="2:8" s="43" customFormat="1" ht="27" x14ac:dyDescent="0.3">
      <c r="B162" s="44" t="s">
        <v>49</v>
      </c>
      <c r="C162" s="45">
        <v>10</v>
      </c>
      <c r="D162" s="126" t="str">
        <f t="shared" ref="D162:D168" si="16" xml:space="preserve"> IF(C162="","",setValueToTime(C162))</f>
        <v xml:space="preserve"> 50 min</v>
      </c>
      <c r="E162" s="170" t="s">
        <v>183</v>
      </c>
      <c r="F162" s="234" t="s">
        <v>170</v>
      </c>
      <c r="G162" s="235"/>
      <c r="H162" s="152"/>
    </row>
    <row r="163" spans="2:8" s="43" customFormat="1" ht="54" x14ac:dyDescent="0.3">
      <c r="B163" s="44" t="s">
        <v>57</v>
      </c>
      <c r="C163" s="45">
        <v>6</v>
      </c>
      <c r="D163" s="126" t="str">
        <f t="shared" si="16"/>
        <v xml:space="preserve"> 30 min</v>
      </c>
      <c r="E163" s="170" t="s">
        <v>179</v>
      </c>
      <c r="F163" s="222"/>
      <c r="G163" s="223"/>
      <c r="H163" s="152"/>
    </row>
    <row r="164" spans="2:8" s="43" customFormat="1" ht="41.25" thickBot="1" x14ac:dyDescent="0.35">
      <c r="B164" s="44" t="s">
        <v>46</v>
      </c>
      <c r="C164" s="45">
        <v>6</v>
      </c>
      <c r="D164" s="126" t="str">
        <f t="shared" si="16"/>
        <v xml:space="preserve"> 30 min</v>
      </c>
      <c r="E164" s="170" t="s">
        <v>171</v>
      </c>
      <c r="F164" s="222"/>
      <c r="G164" s="223"/>
      <c r="H164" s="152"/>
    </row>
    <row r="165" spans="2:8" s="43" customFormat="1" ht="27" x14ac:dyDescent="0.3">
      <c r="B165" s="45" t="s">
        <v>56</v>
      </c>
      <c r="C165" s="45">
        <v>5</v>
      </c>
      <c r="D165" s="127" t="str">
        <f t="shared" si="16"/>
        <v xml:space="preserve"> 25 min</v>
      </c>
      <c r="E165" s="170" t="s">
        <v>180</v>
      </c>
      <c r="F165" s="232" t="s">
        <v>172</v>
      </c>
      <c r="G165" s="233"/>
      <c r="H165" s="152"/>
    </row>
    <row r="166" spans="2:8" s="43" customFormat="1" x14ac:dyDescent="0.3">
      <c r="B166" s="45"/>
      <c r="C166" s="45"/>
      <c r="D166" s="127" t="str">
        <f t="shared" si="16"/>
        <v/>
      </c>
      <c r="E166" s="46"/>
      <c r="F166" s="222"/>
      <c r="G166" s="223"/>
      <c r="H166" s="152"/>
    </row>
    <row r="167" spans="2:8" s="43" customFormat="1" x14ac:dyDescent="0.3">
      <c r="B167" s="45"/>
      <c r="C167" s="45"/>
      <c r="D167" s="127" t="str">
        <f t="shared" si="16"/>
        <v/>
      </c>
      <c r="E167" s="46"/>
      <c r="F167" s="222"/>
      <c r="G167" s="223"/>
      <c r="H167" s="152"/>
    </row>
    <row r="168" spans="2:8" s="43" customFormat="1" ht="27.75" thickBot="1" x14ac:dyDescent="0.35">
      <c r="B168" s="47" t="s">
        <v>41</v>
      </c>
      <c r="C168" s="47">
        <v>1</v>
      </c>
      <c r="D168" s="128" t="str">
        <f t="shared" si="16"/>
        <v xml:space="preserve"> 5 min</v>
      </c>
      <c r="E168" s="48" t="s">
        <v>73</v>
      </c>
      <c r="F168" s="226"/>
      <c r="G168" s="227"/>
      <c r="H168" s="152"/>
    </row>
    <row r="169" spans="2:8" s="43" customFormat="1" ht="15" thickBot="1" x14ac:dyDescent="0.35">
      <c r="B169" s="135" t="s">
        <v>25</v>
      </c>
      <c r="C169" s="66">
        <f>SUM(C161:C168)</f>
        <v>48</v>
      </c>
      <c r="D169" s="135" t="str">
        <f xml:space="preserve"> setValueToTime(C169)</f>
        <v>4h</v>
      </c>
      <c r="E169" s="96"/>
      <c r="F169" s="230"/>
      <c r="G169" s="231"/>
      <c r="H169" s="152"/>
    </row>
    <row r="170" spans="2:8" s="43" customFormat="1" ht="15" thickBot="1" x14ac:dyDescent="0.35">
      <c r="B170" s="60"/>
      <c r="C170" s="60"/>
      <c r="D170" s="60"/>
      <c r="E170" s="60"/>
      <c r="F170" s="60"/>
      <c r="G170" s="60"/>
      <c r="H170" s="152"/>
    </row>
    <row r="171" spans="2:8" s="39" customFormat="1" ht="30" customHeight="1" thickBot="1" x14ac:dyDescent="0.3">
      <c r="B171" s="129" t="s">
        <v>10</v>
      </c>
      <c r="C171" s="137">
        <v>2</v>
      </c>
      <c r="D171" s="137"/>
      <c r="E171" s="130" t="s">
        <v>13</v>
      </c>
      <c r="F171" s="131" t="s">
        <v>77</v>
      </c>
      <c r="G171" s="132" t="s">
        <v>76</v>
      </c>
      <c r="H171" s="151"/>
    </row>
    <row r="172" spans="2:8" s="39" customFormat="1" ht="30" customHeight="1" thickBot="1" x14ac:dyDescent="0.3">
      <c r="B172" s="61" t="s">
        <v>4</v>
      </c>
      <c r="C172" s="134" t="s">
        <v>35</v>
      </c>
      <c r="D172" s="133"/>
      <c r="E172" s="61" t="s">
        <v>11</v>
      </c>
      <c r="F172" s="228" t="s">
        <v>12</v>
      </c>
      <c r="G172" s="229"/>
      <c r="H172" s="151"/>
    </row>
    <row r="173" spans="2:8" s="43" customFormat="1" ht="27" x14ac:dyDescent="0.3">
      <c r="B173" s="40" t="s">
        <v>43</v>
      </c>
      <c r="C173" s="41">
        <v>3</v>
      </c>
      <c r="D173" s="125" t="str">
        <f xml:space="preserve"> IF(C173="","",setValueToTime(C173))</f>
        <v xml:space="preserve"> 15 min</v>
      </c>
      <c r="E173" s="173" t="s">
        <v>177</v>
      </c>
      <c r="F173" s="220"/>
      <c r="G173" s="221"/>
      <c r="H173" s="152"/>
    </row>
    <row r="174" spans="2:8" s="43" customFormat="1" ht="27" x14ac:dyDescent="0.3">
      <c r="B174" s="44" t="s">
        <v>41</v>
      </c>
      <c r="C174" s="45">
        <v>2</v>
      </c>
      <c r="D174" s="126" t="str">
        <f t="shared" ref="D174:D180" si="17" xml:space="preserve"> IF(C174="","",setValueToTime(C174))</f>
        <v xml:space="preserve"> 10 min</v>
      </c>
      <c r="E174" s="46" t="s">
        <v>128</v>
      </c>
      <c r="F174" s="222"/>
      <c r="G174" s="223"/>
      <c r="H174" s="152"/>
    </row>
    <row r="175" spans="2:8" s="43" customFormat="1" ht="27" x14ac:dyDescent="0.3">
      <c r="B175" s="44" t="s">
        <v>48</v>
      </c>
      <c r="C175" s="45">
        <v>22</v>
      </c>
      <c r="D175" s="126" t="str">
        <f t="shared" si="17"/>
        <v>1h 50 min</v>
      </c>
      <c r="E175" s="170" t="s">
        <v>178</v>
      </c>
      <c r="F175" s="222"/>
      <c r="G175" s="223"/>
      <c r="H175" s="152"/>
    </row>
    <row r="176" spans="2:8" s="43" customFormat="1" x14ac:dyDescent="0.3">
      <c r="B176" s="44"/>
      <c r="C176" s="45"/>
      <c r="D176" s="126" t="str">
        <f t="shared" si="17"/>
        <v/>
      </c>
      <c r="E176" s="46"/>
      <c r="F176" s="222"/>
      <c r="G176" s="223"/>
      <c r="H176" s="152"/>
    </row>
    <row r="177" spans="2:8" s="43" customFormat="1" x14ac:dyDescent="0.3">
      <c r="B177" s="45"/>
      <c r="C177" s="45"/>
      <c r="D177" s="127" t="str">
        <f t="shared" si="17"/>
        <v/>
      </c>
      <c r="E177" s="46"/>
      <c r="F177" s="222"/>
      <c r="G177" s="223"/>
      <c r="H177" s="152"/>
    </row>
    <row r="178" spans="2:8" s="43" customFormat="1" x14ac:dyDescent="0.3">
      <c r="B178" s="45"/>
      <c r="C178" s="45"/>
      <c r="D178" s="127" t="str">
        <f t="shared" si="17"/>
        <v/>
      </c>
      <c r="E178" s="46"/>
      <c r="F178" s="222"/>
      <c r="G178" s="223"/>
      <c r="H178" s="152"/>
    </row>
    <row r="179" spans="2:8" s="43" customFormat="1" x14ac:dyDescent="0.3">
      <c r="B179" s="45"/>
      <c r="C179" s="45"/>
      <c r="D179" s="127" t="str">
        <f t="shared" si="17"/>
        <v/>
      </c>
      <c r="E179" s="46"/>
      <c r="F179" s="222"/>
      <c r="G179" s="223"/>
      <c r="H179" s="152"/>
    </row>
    <row r="180" spans="2:8" s="43" customFormat="1" ht="27.75" thickBot="1" x14ac:dyDescent="0.35">
      <c r="B180" s="47" t="s">
        <v>41</v>
      </c>
      <c r="C180" s="47">
        <v>1</v>
      </c>
      <c r="D180" s="128" t="str">
        <f t="shared" si="17"/>
        <v xml:space="preserve"> 5 min</v>
      </c>
      <c r="E180" s="48" t="s">
        <v>73</v>
      </c>
      <c r="F180" s="226"/>
      <c r="G180" s="227"/>
      <c r="H180" s="152"/>
    </row>
    <row r="181" spans="2:8" s="43" customFormat="1" ht="15" thickBot="1" x14ac:dyDescent="0.35">
      <c r="B181" s="135" t="s">
        <v>25</v>
      </c>
      <c r="C181" s="66">
        <f>SUM(C173:C180)</f>
        <v>28</v>
      </c>
      <c r="D181" s="135" t="str">
        <f xml:space="preserve"> setValueToTime(C181)</f>
        <v>2h 20 min</v>
      </c>
      <c r="E181" s="96"/>
      <c r="F181" s="230"/>
      <c r="G181" s="231"/>
      <c r="H181" s="152"/>
    </row>
    <row r="182" spans="2:8" s="43" customFormat="1" ht="15" thickBot="1" x14ac:dyDescent="0.35">
      <c r="B182" s="60"/>
      <c r="C182" s="60"/>
      <c r="D182" s="60"/>
      <c r="E182" s="60"/>
      <c r="F182" s="60"/>
      <c r="G182" s="60"/>
      <c r="H182" s="152"/>
    </row>
    <row r="183" spans="2:8" s="39" customFormat="1" ht="30" customHeight="1" thickBot="1" x14ac:dyDescent="0.3">
      <c r="B183" s="129" t="s">
        <v>10</v>
      </c>
      <c r="C183" s="137">
        <v>1</v>
      </c>
      <c r="D183" s="137"/>
      <c r="E183" s="130" t="s">
        <v>13</v>
      </c>
      <c r="F183" s="131" t="s">
        <v>77</v>
      </c>
      <c r="G183" s="132" t="s">
        <v>74</v>
      </c>
      <c r="H183" s="151"/>
    </row>
    <row r="184" spans="2:8" s="39" customFormat="1" ht="30" customHeight="1" thickBot="1" x14ac:dyDescent="0.3">
      <c r="B184" s="61" t="s">
        <v>4</v>
      </c>
      <c r="C184" s="134" t="s">
        <v>35</v>
      </c>
      <c r="D184" s="133"/>
      <c r="E184" s="61" t="s">
        <v>11</v>
      </c>
      <c r="F184" s="228" t="s">
        <v>12</v>
      </c>
      <c r="G184" s="229"/>
      <c r="H184" s="151"/>
    </row>
    <row r="185" spans="2:8" s="43" customFormat="1" x14ac:dyDescent="0.3">
      <c r="B185" s="40" t="s">
        <v>44</v>
      </c>
      <c r="C185" s="41">
        <v>12</v>
      </c>
      <c r="D185" s="126" t="str">
        <f t="shared" ref="D185:D192" si="18" xml:space="preserve"> IF(C185="","",setValueToTime(C185))</f>
        <v>1h</v>
      </c>
      <c r="E185" s="173" t="s">
        <v>175</v>
      </c>
      <c r="F185" s="220"/>
      <c r="G185" s="221"/>
      <c r="H185" s="152"/>
    </row>
    <row r="186" spans="2:8" s="43" customFormat="1" ht="27" x14ac:dyDescent="0.3">
      <c r="B186" s="44" t="s">
        <v>43</v>
      </c>
      <c r="C186" s="45">
        <v>5</v>
      </c>
      <c r="D186" s="126" t="str">
        <f t="shared" si="18"/>
        <v xml:space="preserve"> 25 min</v>
      </c>
      <c r="E186" s="170" t="s">
        <v>176</v>
      </c>
      <c r="F186" s="222"/>
      <c r="G186" s="223"/>
      <c r="H186" s="152"/>
    </row>
    <row r="187" spans="2:8" s="43" customFormat="1" ht="27" x14ac:dyDescent="0.3">
      <c r="B187" s="44" t="s">
        <v>47</v>
      </c>
      <c r="C187" s="45">
        <v>6</v>
      </c>
      <c r="D187" s="126" t="str">
        <f t="shared" si="18"/>
        <v xml:space="preserve"> 30 min</v>
      </c>
      <c r="E187" s="170" t="s">
        <v>173</v>
      </c>
      <c r="F187" s="222"/>
      <c r="G187" s="223"/>
      <c r="H187" s="152"/>
    </row>
    <row r="188" spans="2:8" s="43" customFormat="1" ht="27" x14ac:dyDescent="0.3">
      <c r="B188" s="44" t="s">
        <v>48</v>
      </c>
      <c r="C188" s="45">
        <v>24</v>
      </c>
      <c r="D188" s="126" t="str">
        <f t="shared" si="18"/>
        <v>2h</v>
      </c>
      <c r="E188" s="170" t="s">
        <v>174</v>
      </c>
      <c r="F188" s="222"/>
      <c r="G188" s="223"/>
      <c r="H188" s="152"/>
    </row>
    <row r="189" spans="2:8" s="43" customFormat="1" x14ac:dyDescent="0.3">
      <c r="B189" s="45"/>
      <c r="C189" s="45"/>
      <c r="D189" s="126" t="str">
        <f t="shared" si="18"/>
        <v/>
      </c>
      <c r="E189" s="46"/>
      <c r="F189" s="222"/>
      <c r="G189" s="223"/>
      <c r="H189" s="152"/>
    </row>
    <row r="190" spans="2:8" s="43" customFormat="1" x14ac:dyDescent="0.3">
      <c r="B190" s="45"/>
      <c r="C190" s="45"/>
      <c r="D190" s="126" t="str">
        <f t="shared" si="18"/>
        <v/>
      </c>
      <c r="E190" s="46"/>
      <c r="F190" s="222"/>
      <c r="G190" s="223"/>
      <c r="H190" s="152"/>
    </row>
    <row r="191" spans="2:8" s="43" customFormat="1" x14ac:dyDescent="0.3">
      <c r="B191" s="45"/>
      <c r="C191" s="45"/>
      <c r="D191" s="126" t="str">
        <f t="shared" si="18"/>
        <v/>
      </c>
      <c r="E191" s="46"/>
      <c r="F191" s="222"/>
      <c r="G191" s="223"/>
      <c r="H191" s="152"/>
    </row>
    <row r="192" spans="2:8" s="43" customFormat="1" ht="27.75" thickBot="1" x14ac:dyDescent="0.35">
      <c r="B192" s="47" t="s">
        <v>41</v>
      </c>
      <c r="C192" s="47">
        <v>1</v>
      </c>
      <c r="D192" s="126" t="str">
        <f t="shared" si="18"/>
        <v xml:space="preserve"> 5 min</v>
      </c>
      <c r="E192" s="48" t="s">
        <v>73</v>
      </c>
      <c r="F192" s="226"/>
      <c r="G192" s="227"/>
      <c r="H192" s="152"/>
    </row>
    <row r="193" spans="2:8" s="43" customFormat="1" ht="15" thickBot="1" x14ac:dyDescent="0.35">
      <c r="B193" s="135" t="s">
        <v>25</v>
      </c>
      <c r="C193" s="66">
        <f>SUM(C185:C192)</f>
        <v>48</v>
      </c>
      <c r="D193" s="135" t="str">
        <f xml:space="preserve"> setValueToTime(C193)</f>
        <v>4h</v>
      </c>
      <c r="E193" s="96"/>
      <c r="F193" s="230"/>
      <c r="G193" s="231"/>
      <c r="H193" s="152"/>
    </row>
    <row r="194" spans="2:8" s="43" customFormat="1" x14ac:dyDescent="0.3">
      <c r="B194" s="60"/>
      <c r="C194" s="60"/>
      <c r="D194" s="60"/>
      <c r="E194" s="60"/>
      <c r="F194" s="60"/>
      <c r="G194" s="60"/>
      <c r="H194" s="152"/>
    </row>
  </sheetData>
  <sheetProtection formatRows="0" insertRows="0" insertHyperlinks="0" deleteRows="0" selectLockedCells="1"/>
  <mergeCells count="160">
    <mergeCell ref="F12:G12"/>
    <mergeCell ref="F3:G3"/>
    <mergeCell ref="F4:G4"/>
    <mergeCell ref="F5:G5"/>
    <mergeCell ref="F6:G6"/>
    <mergeCell ref="F7:G7"/>
    <mergeCell ref="F8:G8"/>
    <mergeCell ref="F9:G9"/>
    <mergeCell ref="F10:G10"/>
    <mergeCell ref="F11:G11"/>
    <mergeCell ref="F63:G63"/>
    <mergeCell ref="F64:G64"/>
    <mergeCell ref="F65:G65"/>
    <mergeCell ref="F66:G66"/>
    <mergeCell ref="F67:G67"/>
    <mergeCell ref="F27:G27"/>
    <mergeCell ref="F28:G28"/>
    <mergeCell ref="F29:G29"/>
    <mergeCell ref="F30:G30"/>
    <mergeCell ref="F31:G31"/>
    <mergeCell ref="F32:G32"/>
    <mergeCell ref="F33:G33"/>
    <mergeCell ref="F34:G34"/>
    <mergeCell ref="F35:G35"/>
    <mergeCell ref="F36:G36"/>
    <mergeCell ref="F48:G48"/>
    <mergeCell ref="F39:G39"/>
    <mergeCell ref="F40:G40"/>
    <mergeCell ref="F41:G41"/>
    <mergeCell ref="F42:G42"/>
    <mergeCell ref="F43:G43"/>
    <mergeCell ref="F44:G44"/>
    <mergeCell ref="F45:G45"/>
    <mergeCell ref="F46:G46"/>
    <mergeCell ref="F84:G84"/>
    <mergeCell ref="F75:G75"/>
    <mergeCell ref="F76:G76"/>
    <mergeCell ref="F77:G77"/>
    <mergeCell ref="F78:G78"/>
    <mergeCell ref="F79:G79"/>
    <mergeCell ref="F68:G68"/>
    <mergeCell ref="F69:G69"/>
    <mergeCell ref="F70:G70"/>
    <mergeCell ref="F71:G71"/>
    <mergeCell ref="F72:G72"/>
    <mergeCell ref="F121:G121"/>
    <mergeCell ref="F137:G137"/>
    <mergeCell ref="F138:G138"/>
    <mergeCell ref="F139:G139"/>
    <mergeCell ref="F140:G140"/>
    <mergeCell ref="F141:G141"/>
    <mergeCell ref="F124:G124"/>
    <mergeCell ref="F125:G125"/>
    <mergeCell ref="F126:G126"/>
    <mergeCell ref="F127:G127"/>
    <mergeCell ref="F128:G128"/>
    <mergeCell ref="F129:G129"/>
    <mergeCell ref="F130:G130"/>
    <mergeCell ref="F131:G131"/>
    <mergeCell ref="F132:G132"/>
    <mergeCell ref="F133:G133"/>
    <mergeCell ref="F193:G193"/>
    <mergeCell ref="F172:G172"/>
    <mergeCell ref="F173:G173"/>
    <mergeCell ref="F174:G174"/>
    <mergeCell ref="F175:G175"/>
    <mergeCell ref="F176:G176"/>
    <mergeCell ref="F177:G177"/>
    <mergeCell ref="F184:G184"/>
    <mergeCell ref="F185:G185"/>
    <mergeCell ref="F186:G186"/>
    <mergeCell ref="F187:G187"/>
    <mergeCell ref="F188:G188"/>
    <mergeCell ref="F189:G189"/>
    <mergeCell ref="F181:G181"/>
    <mergeCell ref="F190:G190"/>
    <mergeCell ref="F192:G192"/>
    <mergeCell ref="F191:G191"/>
    <mergeCell ref="F148:G148"/>
    <mergeCell ref="F149:G149"/>
    <mergeCell ref="F150:G150"/>
    <mergeCell ref="F151:G151"/>
    <mergeCell ref="F152:G152"/>
    <mergeCell ref="F153:G153"/>
    <mergeCell ref="F154:G154"/>
    <mergeCell ref="F155:G155"/>
    <mergeCell ref="F156:G156"/>
    <mergeCell ref="F157:G157"/>
    <mergeCell ref="F160:G160"/>
    <mergeCell ref="F161:G161"/>
    <mergeCell ref="F178:G178"/>
    <mergeCell ref="F179:G179"/>
    <mergeCell ref="F180:G180"/>
    <mergeCell ref="F165:G165"/>
    <mergeCell ref="F166:G166"/>
    <mergeCell ref="F167:G167"/>
    <mergeCell ref="F168:G168"/>
    <mergeCell ref="F169:G169"/>
    <mergeCell ref="F162:G162"/>
    <mergeCell ref="F163:G163"/>
    <mergeCell ref="F164:G164"/>
    <mergeCell ref="F144:G144"/>
    <mergeCell ref="F145:G145"/>
    <mergeCell ref="F136:G136"/>
    <mergeCell ref="F99:G99"/>
    <mergeCell ref="F100:G100"/>
    <mergeCell ref="F101:G101"/>
    <mergeCell ref="F102:G102"/>
    <mergeCell ref="F103:G103"/>
    <mergeCell ref="F104:G104"/>
    <mergeCell ref="F105:G105"/>
    <mergeCell ref="F106:G106"/>
    <mergeCell ref="F107:G107"/>
    <mergeCell ref="F108:G108"/>
    <mergeCell ref="F142:G142"/>
    <mergeCell ref="F143:G143"/>
    <mergeCell ref="F111:G111"/>
    <mergeCell ref="F112:G112"/>
    <mergeCell ref="F113:G113"/>
    <mergeCell ref="F114:G114"/>
    <mergeCell ref="F115:G115"/>
    <mergeCell ref="F116:G116"/>
    <mergeCell ref="F118:G118"/>
    <mergeCell ref="F119:G119"/>
    <mergeCell ref="F120:G120"/>
    <mergeCell ref="F96:G96"/>
    <mergeCell ref="F51:G51"/>
    <mergeCell ref="F52:G52"/>
    <mergeCell ref="F53:G53"/>
    <mergeCell ref="F54:G54"/>
    <mergeCell ref="F55:G55"/>
    <mergeCell ref="F56:G56"/>
    <mergeCell ref="F57:G57"/>
    <mergeCell ref="F58:G58"/>
    <mergeCell ref="F59:G59"/>
    <mergeCell ref="F60:G60"/>
    <mergeCell ref="F87:G87"/>
    <mergeCell ref="F88:G88"/>
    <mergeCell ref="F89:G89"/>
    <mergeCell ref="F90:G90"/>
    <mergeCell ref="F91:G91"/>
    <mergeCell ref="F92:G92"/>
    <mergeCell ref="F93:G93"/>
    <mergeCell ref="F94:G94"/>
    <mergeCell ref="F95:G95"/>
    <mergeCell ref="F80:G80"/>
    <mergeCell ref="F81:G81"/>
    <mergeCell ref="F82:G82"/>
    <mergeCell ref="F83:G83"/>
    <mergeCell ref="F47:G47"/>
    <mergeCell ref="F15:G15"/>
    <mergeCell ref="F16:G16"/>
    <mergeCell ref="F17:G17"/>
    <mergeCell ref="F18:G18"/>
    <mergeCell ref="F19:G19"/>
    <mergeCell ref="F20:G20"/>
    <mergeCell ref="F21:G21"/>
    <mergeCell ref="F22:G22"/>
    <mergeCell ref="F23:G23"/>
    <mergeCell ref="F24:G24"/>
  </mergeCells>
  <phoneticPr fontId="0" type="noConversion"/>
  <conditionalFormatting sqref="C193">
    <cfRule type="cellIs" dxfId="17" priority="16" operator="greaterThan">
      <formula>60</formula>
    </cfRule>
  </conditionalFormatting>
  <conditionalFormatting sqref="C181">
    <cfRule type="cellIs" dxfId="16" priority="15" operator="greaterThan">
      <formula>60</formula>
    </cfRule>
  </conditionalFormatting>
  <conditionalFormatting sqref="C169">
    <cfRule type="cellIs" dxfId="15" priority="14" operator="greaterThan">
      <formula>60</formula>
    </cfRule>
  </conditionalFormatting>
  <conditionalFormatting sqref="C157">
    <cfRule type="cellIs" dxfId="14" priority="13" operator="greaterThan">
      <formula>60</formula>
    </cfRule>
  </conditionalFormatting>
  <conditionalFormatting sqref="C145">
    <cfRule type="cellIs" dxfId="13" priority="12" operator="greaterThan">
      <formula>60</formula>
    </cfRule>
  </conditionalFormatting>
  <conditionalFormatting sqref="C133">
    <cfRule type="cellIs" dxfId="12" priority="11" operator="greaterThan">
      <formula>60</formula>
    </cfRule>
  </conditionalFormatting>
  <conditionalFormatting sqref="C121">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5:C192 C173:C180 C161:C168 C149:C156 C137:C144 C125:C132 C112:C120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3 C181 C169 C157 C145 C133 C121 C108 C96 C84 C72 C60 C48 C36 C24 C12" xr:uid="{50F9C946-D507-4D8E-9BFE-2DF270D6B689}">
      <formula1>0</formula1>
      <formula2>60</formula2>
    </dataValidation>
  </dataValidations>
  <hyperlinks>
    <hyperlink ref="F162:G162" r:id="rId1" display="KuriMedia.drawio" xr:uid="{30CF5B93-8711-49BC-B1E6-2A4892A0D3CD}"/>
    <hyperlink ref="F149:G149" r:id="rId2" display="Longueurs des noms basés sur la norme RFC 3696" xr:uid="{7D17D05A-CE6C-4B1B-873F-FF516E25090A}"/>
    <hyperlink ref="F165:G165" r:id="rId3" display="Longueurs des noms basés sur la norme RFC 3696" xr:uid="{AE654F0B-E113-4001-A69C-1354D2137971}"/>
    <hyperlink ref="F125:G125" r:id="rId4" display="Maquette sur Figma" xr:uid="{72E1797D-48A0-4DD5-9D27-81FC16CF5873}"/>
    <hyperlink ref="F52:G52" r:id="rId5" display="Site de FontAwesome" xr:uid="{B53A6903-78CA-4D2D-A3EA-4DE205470C05}"/>
    <hyperlink ref="F29:G29" r:id="rId6" display="https://stackoverflow.com/questions/12035400/how-can-i-remove-the-no-file-chosen-tooltip-from-a-file-input-in-chrome" xr:uid="{2CEE2D97-D8A9-45CD-B881-EB4B304F4028}"/>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7"/>
  <headerFooter alignWithMargins="0">
    <oddHeader>&amp;L&amp;"ETML,Normal"&amp;14ETML&amp;R&amp;14&amp;USection Informatique</oddHeader>
    <oddFooter>&amp;L&amp;14&amp;D - GGZ&amp;C&amp;14&amp;F - &amp;A&amp;R&amp;14&amp;P/&amp;N</oddFooter>
  </headerFooter>
  <rowBreaks count="7" manualBreakCount="7">
    <brk id="25" min="1" max="6" man="1"/>
    <brk id="49" min="1" max="6" man="1"/>
    <brk id="73" min="1" max="6" man="1"/>
    <brk id="97" min="1" max="6" man="1"/>
    <brk id="122" min="1" max="6" man="1"/>
    <brk id="146" min="1" max="6" man="1"/>
    <brk id="170" min="1" max="6" man="1"/>
  </rowBreaks>
  <colBreaks count="2" manualBreakCount="2">
    <brk id="3" min="1" max="193" man="1"/>
    <brk id="4" min="1" max="193" man="1"/>
  </colBreaks>
  <drawing r:id="rId8"/>
  <legacyDrawing r:id="rId9"/>
  <controls>
    <mc:AlternateContent xmlns:mc="http://schemas.openxmlformats.org/markup-compatibility/2006">
      <mc:Choice Requires="x14">
        <control shapeId="9220" r:id="rId10" name="btnAjoutSeqJournal">
          <controlPr defaultSize="0" autoLine="0" r:id="rId11">
            <anchor moveWithCells="1">
              <from>
                <xdr:col>3</xdr:col>
                <xdr:colOff>85725</xdr:colOff>
                <xdr:row>0</xdr:row>
                <xdr:rowOff>85725</xdr:rowOff>
              </from>
              <to>
                <xdr:col>4</xdr:col>
                <xdr:colOff>762000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1</xdr:col>
                <xdr:colOff>104775</xdr:colOff>
                <xdr:row>0</xdr:row>
                <xdr:rowOff>85725</xdr:rowOff>
              </from>
              <to>
                <xdr:col>2</xdr:col>
                <xdr:colOff>457200</xdr:colOff>
                <xdr:row>0</xdr:row>
                <xdr:rowOff>552450</xdr:rowOff>
              </to>
            </anchor>
          </controlPr>
        </control>
      </mc:Choice>
      <mc:Fallback>
        <control shapeId="9224" r:id="rId12"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B185:B192 B173:B180 B161:B168 B149:B156 B137:B144 B125:B132 B112:B120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8" t="s">
        <v>12</v>
      </c>
      <c r="G2" s="229"/>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30"/>
      <c r="G11" s="231"/>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2024-05-24T14:30:51Z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