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4 - 24.05.24\"/>
    </mc:Choice>
  </mc:AlternateContent>
  <xr:revisionPtr revIDLastSave="0" documentId="13_ncr:1_{EF20280B-4D90-4866-AE27-F29289FC7F12}" xr6:coauthVersionLast="47" xr6:coauthVersionMax="47" xr10:uidLastSave="{00000000-0000-0000-0000-000000000000}"/>
  <bookViews>
    <workbookView xWindow="28680" yWindow="-208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Journal!$B$2:$G$170</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34" i="12"/>
  <c r="C24" i="12"/>
  <c r="D22" i="12"/>
  <c r="D21" i="12"/>
  <c r="C36" i="12"/>
  <c r="C48" i="12"/>
  <c r="D46" i="12"/>
  <c r="D45" i="12"/>
  <c r="D44" i="12"/>
  <c r="D43" i="12"/>
  <c r="D42" i="12"/>
  <c r="C60" i="12"/>
  <c r="C72" i="12"/>
  <c r="D70" i="12"/>
  <c r="D69" i="12"/>
  <c r="D68" i="12"/>
  <c r="C84" i="12"/>
  <c r="D82" i="12"/>
  <c r="D81" i="12"/>
  <c r="C97" i="12"/>
  <c r="D104" i="12"/>
  <c r="D105" i="12"/>
  <c r="D106" i="12"/>
  <c r="D107" i="12"/>
  <c r="C109" i="12"/>
  <c r="D165" i="12"/>
  <c r="D166" i="12"/>
  <c r="D167" i="12"/>
  <c r="D155" i="12"/>
  <c r="D154" i="12"/>
  <c r="D153" i="12"/>
  <c r="D152" i="12"/>
  <c r="D142" i="12"/>
  <c r="D143" i="12"/>
  <c r="C121" i="12"/>
  <c r="D119" i="12"/>
  <c r="D118" i="12"/>
  <c r="D117" i="12"/>
  <c r="C133" i="12"/>
  <c r="D131" i="12"/>
  <c r="D130" i="12"/>
  <c r="D129" i="12"/>
  <c r="D128" i="12"/>
  <c r="D127" i="12"/>
  <c r="D126" i="12"/>
  <c r="D5" i="12"/>
  <c r="D4" i="12"/>
  <c r="D12" i="12"/>
  <c r="D29" i="12"/>
  <c r="D53" i="12"/>
  <c r="D72" i="12"/>
  <c r="D67" i="12"/>
  <c r="D56" i="12"/>
  <c r="D121" i="12"/>
  <c r="D17" i="12"/>
  <c r="D77" i="12"/>
  <c r="D28" i="12"/>
  <c r="D64" i="12"/>
  <c r="D139" i="12"/>
  <c r="D150" i="12"/>
  <c r="D16" i="12"/>
  <c r="D164" i="12"/>
  <c r="D120" i="12"/>
  <c r="D97" i="12"/>
  <c r="D162" i="12"/>
  <c r="D92" i="12"/>
  <c r="D94" i="12"/>
  <c r="D24" i="12"/>
  <c r="D108" i="12"/>
  <c r="D89" i="12"/>
  <c r="D66" i="12"/>
  <c r="D55" i="12"/>
  <c r="D83" i="12"/>
  <c r="D95" i="12"/>
  <c r="D36" i="12"/>
  <c r="D144" i="12"/>
  <c r="D115" i="12"/>
  <c r="D163" i="12"/>
  <c r="D109" i="12"/>
  <c r="D41" i="12"/>
  <c r="D79" i="12"/>
  <c r="D23" i="12"/>
  <c r="D113" i="12"/>
  <c r="D141" i="12"/>
  <c r="D84" i="12"/>
  <c r="D58" i="12"/>
  <c r="D18" i="12"/>
  <c r="D78" i="12"/>
  <c r="D20" i="12"/>
  <c r="D133" i="12"/>
  <c r="D52" i="12"/>
  <c r="D140" i="12"/>
  <c r="D114" i="12"/>
  <c r="D80" i="12"/>
  <c r="D138" i="12"/>
  <c r="D91" i="12"/>
  <c r="D19" i="12"/>
  <c r="D151" i="12"/>
  <c r="D47" i="12"/>
  <c r="D65" i="12"/>
  <c r="D31" i="12"/>
  <c r="D76" i="12"/>
  <c r="D60" i="12"/>
  <c r="D40" i="12"/>
  <c r="D57" i="12"/>
  <c r="D33" i="12"/>
  <c r="D32" i="12"/>
  <c r="D101" i="12"/>
  <c r="D103" i="12"/>
  <c r="D96" i="12"/>
  <c r="D59" i="12"/>
  <c r="D102" i="12"/>
  <c r="D35" i="12"/>
  <c r="D161" i="12"/>
  <c r="D90" i="12"/>
  <c r="D125" i="12"/>
  <c r="D88" i="12"/>
  <c r="D93" i="12"/>
  <c r="D30" i="12"/>
  <c r="D54" i="12"/>
  <c r="D116" i="12"/>
  <c r="D48" i="12"/>
  <c r="D168" i="12"/>
  <c r="D156" i="12"/>
  <c r="D71" i="12"/>
  <c r="C145" i="12" l="1"/>
  <c r="E95" i="1"/>
  <c r="C60" i="10"/>
  <c r="C96" i="10"/>
  <c r="C72" i="10"/>
  <c r="D112" i="10"/>
  <c r="D162" i="10"/>
  <c r="D20" i="10"/>
  <c r="D10" i="10"/>
  <c r="D138" i="10"/>
  <c r="D117" i="10"/>
  <c r="D151" i="10"/>
  <c r="D101" i="10"/>
  <c r="D30" i="10"/>
  <c r="D116" i="10"/>
  <c r="D164" i="10"/>
  <c r="D221" i="10"/>
  <c r="D309" i="10"/>
  <c r="D173" i="10"/>
  <c r="D65" i="10"/>
  <c r="D137" i="10"/>
  <c r="D184" i="10"/>
  <c r="D310" i="10"/>
  <c r="D139" i="10"/>
  <c r="D224" i="10"/>
  <c r="E96" i="1"/>
  <c r="D142" i="10"/>
  <c r="D227" i="10"/>
  <c r="D55" i="10"/>
  <c r="D263" i="10"/>
  <c r="D91" i="10"/>
  <c r="D154" i="10"/>
  <c r="D281" i="10"/>
  <c r="D115" i="10"/>
  <c r="D45" i="10"/>
  <c r="D42" i="10"/>
  <c r="D178" i="10"/>
  <c r="D287" i="10"/>
  <c r="D222" i="10"/>
  <c r="D102" i="10"/>
  <c r="D235" i="10"/>
  <c r="D223" i="10"/>
  <c r="D322" i="10"/>
  <c r="D131" i="10"/>
  <c r="D306" i="10"/>
  <c r="D191" i="10"/>
  <c r="D294" i="10"/>
  <c r="D31" i="10"/>
  <c r="D284" i="10"/>
  <c r="D113" i="10"/>
  <c r="D197" i="10"/>
  <c r="D33" i="10"/>
  <c r="D82" i="10"/>
  <c r="D80" i="10"/>
  <c r="D225" i="10"/>
  <c r="D52" i="10"/>
  <c r="D203" i="10"/>
  <c r="D209" i="10"/>
  <c r="D90" i="10"/>
  <c r="D128" i="10"/>
  <c r="D177" i="10"/>
  <c r="D210" i="10"/>
  <c r="D77" i="10"/>
  <c r="D238" i="10"/>
  <c r="D166" i="10"/>
  <c r="D69" i="10"/>
  <c r="D70" i="10"/>
  <c r="D305" i="10"/>
  <c r="D127" i="10"/>
  <c r="D6" i="10"/>
  <c r="D161" i="10"/>
  <c r="D41" i="10"/>
  <c r="D257" i="10"/>
  <c r="D114" i="10"/>
  <c r="D129" i="10"/>
  <c r="D34" i="10"/>
  <c r="D298" i="10"/>
  <c r="D92" i="10"/>
  <c r="D296" i="10"/>
  <c r="D17" i="10"/>
  <c r="D150" i="10"/>
  <c r="D311" i="10"/>
  <c r="D323" i="10"/>
  <c r="D249" i="10"/>
  <c r="D167" i="10"/>
  <c r="D260" i="10"/>
  <c r="D23" i="10"/>
  <c r="D320" i="10"/>
  <c r="D214" i="10"/>
  <c r="D118" i="10"/>
  <c r="D106" i="10"/>
  <c r="D53" i="10"/>
  <c r="D274" i="10"/>
  <c r="D196" i="10"/>
  <c r="D190" i="10"/>
  <c r="D220" i="10"/>
  <c r="D148" i="10"/>
  <c r="D56" i="10"/>
  <c r="D153" i="10"/>
  <c r="D237" i="10"/>
  <c r="D174" i="10"/>
  <c r="D187" i="10"/>
  <c r="D18" i="10"/>
  <c r="D119" i="10"/>
  <c r="D66" i="10"/>
  <c r="D89" i="10"/>
  <c r="D186" i="10"/>
  <c r="D272" i="10"/>
  <c r="D250" i="10"/>
  <c r="D59" i="10"/>
  <c r="D141" i="10"/>
  <c r="D32" i="10"/>
  <c r="D21" i="10"/>
  <c r="D19" i="10"/>
  <c r="D269" i="10"/>
  <c r="D149" i="10"/>
  <c r="D199" i="10"/>
  <c r="D46" i="10"/>
  <c r="D318" i="10"/>
  <c r="D8" i="10"/>
  <c r="D297" i="10"/>
  <c r="D143" i="10"/>
  <c r="D295" i="10"/>
  <c r="D57" i="10"/>
  <c r="D198" i="10"/>
  <c r="D308" i="10"/>
  <c r="D185" i="10"/>
  <c r="D261" i="10"/>
  <c r="D105" i="10"/>
  <c r="D211" i="10"/>
  <c r="D88" i="10"/>
  <c r="D165" i="10"/>
  <c r="D126" i="10"/>
  <c r="D215" i="10"/>
  <c r="D68" i="10"/>
  <c r="D43" i="10"/>
  <c r="D54" i="10"/>
  <c r="D307" i="10"/>
  <c r="D271" i="10"/>
  <c r="D317" i="10"/>
  <c r="D293" i="10"/>
  <c r="D247" i="10"/>
  <c r="D188" i="10"/>
  <c r="D93" i="10"/>
  <c r="D152" i="10"/>
  <c r="D251" i="10"/>
  <c r="D104" i="10"/>
  <c r="D103" i="10"/>
  <c r="D35" i="10"/>
  <c r="D285" i="10"/>
  <c r="D163" i="10"/>
  <c r="D248" i="10"/>
  <c r="D130" i="10"/>
  <c r="D175" i="10"/>
  <c r="D79" i="10"/>
  <c r="D155" i="10"/>
  <c r="D319" i="10"/>
  <c r="D234" i="10"/>
  <c r="D201" i="10"/>
  <c r="D9" i="10"/>
  <c r="D78" i="10"/>
  <c r="D286" i="10"/>
  <c r="D95" i="10"/>
  <c r="D270" i="10"/>
  <c r="D275" i="10"/>
  <c r="D7" i="10"/>
  <c r="D226" i="10"/>
  <c r="D200" i="10"/>
  <c r="D236" i="10"/>
  <c r="D259" i="10"/>
  <c r="D76" i="10"/>
  <c r="D94" i="10"/>
  <c r="D47" i="10"/>
  <c r="D140" i="10"/>
  <c r="D81" i="10"/>
  <c r="D179" i="10"/>
  <c r="D321" i="10"/>
  <c r="D58" i="10"/>
  <c r="D239" i="10"/>
  <c r="D44" i="10"/>
  <c r="D67" i="10"/>
  <c r="D233" i="10"/>
  <c r="D202" i="10"/>
  <c r="D299" i="10"/>
  <c r="D22" i="10"/>
  <c r="D189" i="10"/>
  <c r="D83" i="10"/>
  <c r="D11" i="10"/>
  <c r="D107" i="10"/>
  <c r="D5" i="10"/>
  <c r="D246" i="10"/>
  <c r="D213" i="10"/>
  <c r="D125" i="10"/>
  <c r="D176" i="10"/>
  <c r="D283" i="10"/>
  <c r="D258" i="10"/>
  <c r="D212" i="10"/>
  <c r="D262" i="10"/>
  <c r="D282" i="10"/>
  <c r="D29" i="10"/>
  <c r="D273" i="10"/>
  <c r="D245" i="10"/>
  <c r="D145" i="12"/>
  <c r="D137" i="12"/>
  <c r="C157" i="12" l="1"/>
  <c r="C12" i="10"/>
  <c r="C24" i="10"/>
  <c r="C36" i="10"/>
  <c r="C48" i="10"/>
  <c r="C84" i="10"/>
  <c r="C108" i="10"/>
  <c r="C120" i="10"/>
  <c r="C132" i="10"/>
  <c r="C144" i="10"/>
  <c r="C156" i="10"/>
  <c r="C168" i="10"/>
  <c r="C180" i="10"/>
  <c r="C192" i="10"/>
  <c r="C204" i="10"/>
  <c r="C216" i="10"/>
  <c r="C228" i="10"/>
  <c r="C240" i="10"/>
  <c r="C252" i="10"/>
  <c r="C264" i="10"/>
  <c r="C276" i="10"/>
  <c r="C288" i="10"/>
  <c r="C300" i="10"/>
  <c r="C169" i="12"/>
  <c r="C312" i="10"/>
  <c r="C324" i="10"/>
  <c r="D3" i="15"/>
  <c r="D4" i="15"/>
  <c r="D5" i="15"/>
  <c r="D6" i="15"/>
  <c r="D7" i="15"/>
  <c r="D8" i="15"/>
  <c r="D9" i="15"/>
  <c r="D10" i="15"/>
  <c r="C11" i="15"/>
  <c r="D10" i="16"/>
  <c r="D9" i="16"/>
  <c r="D8" i="16"/>
  <c r="D7" i="16"/>
  <c r="D6" i="16"/>
  <c r="D5" i="16"/>
  <c r="D4" i="16"/>
  <c r="D3" i="16"/>
  <c r="C11" i="16"/>
  <c r="D61" i="1"/>
  <c r="D29" i="1"/>
  <c r="D59" i="1"/>
  <c r="D132" i="10"/>
  <c r="D136" i="10"/>
  <c r="D36" i="1"/>
  <c r="D49" i="1"/>
  <c r="D204" i="10"/>
  <c r="D33" i="1"/>
  <c r="D46" i="1"/>
  <c r="D87" i="1"/>
  <c r="D65" i="1"/>
  <c r="D34" i="1"/>
  <c r="D45" i="1"/>
  <c r="D50" i="1"/>
  <c r="D20" i="1"/>
  <c r="D78" i="1"/>
  <c r="D76" i="1"/>
  <c r="D324" i="10"/>
  <c r="D35" i="1"/>
  <c r="D100" i="10"/>
  <c r="D66" i="1"/>
  <c r="D304" i="10"/>
  <c r="D17" i="1"/>
  <c r="D24" i="10"/>
  <c r="D42" i="1"/>
  <c r="D51" i="1"/>
  <c r="D83" i="1"/>
  <c r="D240" i="10"/>
  <c r="D156" i="10"/>
  <c r="D92" i="1"/>
  <c r="D55" i="1"/>
  <c r="D18" i="1"/>
  <c r="D77" i="1"/>
  <c r="D172" i="10"/>
  <c r="D120" i="10"/>
  <c r="D316" i="10"/>
  <c r="D4" i="10"/>
  <c r="D180" i="10"/>
  <c r="D28" i="10"/>
  <c r="D60" i="10"/>
  <c r="D208" i="10"/>
  <c r="D288" i="10"/>
  <c r="D84" i="10"/>
  <c r="D216" i="10"/>
  <c r="D12" i="10"/>
  <c r="D64" i="1"/>
  <c r="D91" i="1"/>
  <c r="D73" i="1"/>
  <c r="D23" i="1"/>
  <c r="D11" i="16"/>
  <c r="D94" i="1"/>
  <c r="D15" i="1"/>
  <c r="D88" i="1"/>
  <c r="D48" i="10"/>
  <c r="D48" i="1"/>
  <c r="D32" i="1"/>
  <c r="D19" i="1"/>
  <c r="D28" i="1"/>
  <c r="D79" i="1"/>
  <c r="D85" i="1"/>
  <c r="D124" i="10"/>
  <c r="D16" i="10"/>
  <c r="D39" i="1"/>
  <c r="D21" i="1"/>
  <c r="D37" i="1"/>
  <c r="D63" i="1"/>
  <c r="D54" i="1"/>
  <c r="D89" i="1"/>
  <c r="D47" i="1"/>
  <c r="D70" i="1"/>
  <c r="D86" i="1"/>
  <c r="D67" i="1"/>
  <c r="D58" i="1"/>
  <c r="D264" i="10"/>
  <c r="D84" i="1"/>
  <c r="D16" i="1"/>
  <c r="D52" i="1"/>
  <c r="D93" i="1"/>
  <c r="D74" i="1"/>
  <c r="D300" i="10"/>
  <c r="D27" i="1"/>
  <c r="D90" i="1"/>
  <c r="D72" i="1"/>
  <c r="D292" i="10"/>
  <c r="D62" i="1"/>
  <c r="D252" i="10"/>
  <c r="D96" i="10"/>
  <c r="D268" i="10"/>
  <c r="D144" i="10"/>
  <c r="D108" i="10"/>
  <c r="D69" i="1"/>
  <c r="D244" i="10"/>
  <c r="D44" i="1"/>
  <c r="D26" i="1"/>
  <c r="D40" i="1"/>
  <c r="D43" i="1"/>
  <c r="D276" i="10"/>
  <c r="D280" i="10"/>
  <c r="D68" i="1"/>
  <c r="D71" i="1"/>
  <c r="D64" i="10"/>
  <c r="D75" i="1"/>
  <c r="D56" i="1"/>
  <c r="D11" i="15"/>
  <c r="D31" i="1"/>
  <c r="D168" i="10"/>
  <c r="D232" i="10"/>
  <c r="D41" i="1"/>
  <c r="D160" i="10"/>
  <c r="D192" i="10"/>
  <c r="D30" i="1"/>
  <c r="D53" i="1"/>
  <c r="D60" i="1"/>
  <c r="D82" i="1"/>
  <c r="D36" i="10"/>
  <c r="D38" i="1"/>
  <c r="D40" i="10"/>
  <c r="D228" i="10"/>
  <c r="D24" i="1"/>
  <c r="D72" i="10"/>
  <c r="D57" i="1"/>
  <c r="D312" i="10"/>
  <c r="D22" i="1"/>
  <c r="D71" i="10"/>
  <c r="D80" i="1"/>
  <c r="D25" i="1"/>
  <c r="D81" i="1"/>
  <c r="D256" i="10"/>
  <c r="D149" i="12"/>
  <c r="D157" i="12"/>
  <c r="D169" i="12"/>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<sst xmlns="http://schemas.openxmlformats.org/spreadsheetml/2006/main" count="1155" uniqueCount="236">
  <si>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</si>
  <si>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</si>
  <si>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</si>
  <si>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</si>
  <si>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</si>
  <si>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</si>
  <si>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</si>
  <si>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</si>
  <si>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</si>
  <si>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</si>
  <si>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</si>
  <si>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</si>
  <si>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</si>
  <si>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</si>
  <si>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</si>
  <si>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</si>
  <si>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</si>
  <si>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</si>
  <si>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</si>
  <si>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</si>
  <si>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</si>
  <si>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</si>
  <si>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</si>
  <si>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</si>
  <si>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</si>
  <si>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</si>
  <si>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</si>
  <si>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</si>
  <si>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</si>
  <si>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</si>
  <si>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</si>
  <si>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</si>
  <si>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</si>
  <si>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</si>
  <si>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</si>
  <si>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</si>
  <si>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</si>
  <si>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</si>
  <si>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</si>
  <si>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</si>
  <si>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</si>
  <si>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</si>
  <si>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</si>
  <si>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</si>
  <si>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</si>
  <si>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</si>
  <si>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</si>
  <si>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</si>
  <si>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</si>
  <si>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</si>
  <si>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</si>
  <si>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</si>
  <si>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</si>
  <si>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</si>
  <si>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</si>
  <si>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</si>
  <si>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</si>
  <si>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</si>
  <si>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</si>
  <si>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</si>
  <si>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</si>
  <si>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</si>
  <si>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</si>
  <si>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</si>
  <si>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</si>
  <si>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</si>
  <si>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</si>
  <si>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</si>
  <si>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</si>
  <si>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</si>
  <si>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</si>
  <si>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</si>
  <si>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</si>
  <si>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</si>
  <si>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</si>
  <si>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</si>
  <si>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</si>
  <si>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</si>
  <si>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</si>
  <si>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</si>
  <si>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</si>
  <si>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</si>
  <si>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</si>
  <si>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</si>
  <si>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</si>
  <si>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</si>
  <si>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</si>
  <si>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</si>
  <si>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</si>
  <si>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</si>
  <si>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</si>
  <si>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</si>
  <si>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</si>
  <si>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</si>
  <si>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</si>
  <si>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</si>
  <si>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</si>
  <si>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</si>
  <si>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</si>
  <si>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</si>
  <si>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</si>
  <si>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</si>
  <si>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</si>
  <si>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</si>
  <si>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</si>
  <si>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</si>
  <si>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</si>
  <si>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</si>
  <si>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</si>
  <si>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</si>
  <si>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</si>
  <si>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</si>
  <si>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</si>
  <si>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</si>
  <si>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</si>
  <si>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</si>
  <si>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</si>
  <si>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</si>
  <si>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</si>
  <si>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</si>
  <si>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</si>
  <si>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</si>
  <si>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</si>
  <si>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</si>
  <si>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</si>
  <si>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</si>
  <si>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</si>
  <si>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</si>
  <si>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</si>
  <si>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</si>
  <si>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</si>
  <si>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</si>
  <si>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</si>
  <si>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</si>
  <si>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</si>
  <si>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</si>
  <si>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</si>
  <si>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</si>
  <si>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</si>
  <si>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</si>
  <si>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</si>
  <si>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</si>
  <si>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</si>
  <si>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</si>
  <si>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</si>
  <si>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</si>
  <si>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</si>
  <si>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</si>
  <si>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</si>
  <si>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</si>
  <si>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</si>
  <si>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</si>
  <si>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</si>
  <si>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</si>
  <si>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</si>
  <si>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</si>
  <si>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</si>
  <si>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</si>
  <si>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</si>
  <si>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</si>
  <si>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</si>
  <si>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</si>
  <si>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</si>
  <si>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</si>
  <si>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</si>
  <si>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</si>
  <si>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</si>
  <si>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</si>
  <si>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</si>
  <si>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</si>
  <si>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</si>
  <si>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</si>
  <si>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</si>
  <si>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</si>
  <si>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</si>
  <si>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</si>
  <si>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</si>
  <si>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</si>
  <si>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</si>
  <si>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</si>
  <si>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</si>
  <si>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</si>
  <si>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</si>
  <si>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</si>
  <si>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</si>
  <si>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</si>
  <si>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</si>
  <si>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</si>
  <si>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</si>
  <si>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</si>
  <si>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</si>
  <si>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</si>
  <si>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</si>
  <si>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</si>
  <si>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</si>
  <si>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</si>
  <si>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</si>
  <si>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</si>
  <si>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</si>
  <si>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</si>
  <si>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</si>
  <si>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</si>
  <si>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</si>
  <si>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</si>
  <si>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</si>
  <si>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</si>
  <si>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</si>
  <si>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</si>
  <si>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</si>
  <si>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</si>
  <si>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</si>
  <si>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</si>
  <si>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</si>
  <si>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</si>
  <si>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</si>
  <si>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</si>
  <si>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</si>
  <si>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</si>
  <si>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</si>
  <si>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35h 40 min</t>
  </si>
  <si>
    <t>- 52h 20 min</t>
  </si>
  <si>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</si>
  <si>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</si>
  <si>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</si>
  <si>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</si>
  <si>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</si>
  <si>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</si>
  <si>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</si>
  <si>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</si>
  <si>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</si>
  <si>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</si>
  <si>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u</t>
  </si>
  <si>
    <t xml:space="preserve">Recherches sur le formattage de dates, retirage du message "aucun fichier choisi", </t>
  </si>
  <si>
    <t>Page d'informations sur l'entretien n'est pas terminé car selon la maquette figma de cette page. Il faudrait un formulaire dans un deuxième. Il manque la date et le bouton pour entrer un fichier</t>
  </si>
  <si>
    <t>Les variables ne passent pas à travers les livewires</t>
  </si>
  <si>
    <t>Le formulaire pour mettre à jour ne marche pas. Après avoir cherché sur des forums, j'ai trouvé qu'il fallait un composant livewire.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</si>
</sst>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3"/>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18</c:v>
              </c:pt>
              <c:pt idx="6">
                <c:v>46</c:v>
              </c:pt>
              <c:pt idx="7">
                <c:v>0</c:v>
              </c:pt>
              <c:pt idx="8">
                <c:v>0</c:v>
              </c:pt>
              <c:pt idx="9">
                <c:v>6</c:v>
              </c:pt>
              <c:pt idx="10">
                <c:v>6</c:v>
              </c:pt>
              <c:pt idx="11">
                <c:v>22</c:v>
              </c:pt>
              <c:pt idx="12">
                <c:v>12</c:v>
              </c:pt>
              <c:pt idx="13">
                <c:v>0</c:v>
              </c:pt>
              <c:pt idx="14">
                <c:v>0</c:v>
              </c:pt>
              <c:pt idx="15">
                <c:v>6</c:v>
              </c:pt>
              <c:pt idx="16">
                <c:v>46</c:v>
              </c:pt>
              <c:pt idx="17">
                <c:v>11</c:v>
              </c:pt>
              <c:pt idx="18">
                <c:v>20</c:v>
              </c:pt>
              <c:pt idx="19">
                <c:v>29</c:v>
              </c:pt>
              <c:pt idx="20">
                <c:v>9</c:v>
              </c:pt>
              <c:pt idx="21">
                <c:v>0</c:v>
              </c:pt>
              <c:pt idx="22">
                <c:v>0</c:v>
              </c:pt>
              <c:pt idx="23">
                <c:v>10</c:v>
              </c:pt>
              <c:pt idx="24">
                <c:v>0</c:v>
              </c:pt>
              <c:pt idx="25">
                <c:v>56</c:v>
              </c:pt>
              <c:pt idx="26">
                <c:v>0</c:v>
              </c:pt>
              <c:pt idx="27">
                <c:v>0</c:v>
              </c:pt>
              <c:pt idx="28">
                <c:v>6</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26,9%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5h 20 min</a:t>
                    </a:r>
                  </a:p>
                  <a:p>
                    <a:r>
                      <a:rPr lang="en-US"/>
                      <a:t> 15,0%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11h 15 min</a:t>
                    </a:r>
                  </a:p>
                  <a:p>
                    <a:r>
                      <a:rPr lang="en-US"/>
                      <a:t> 31,5%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 30 min</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64</c:v>
              </c:pt>
              <c:pt idx="5">
                <c:v>0</c:v>
              </c:pt>
              <c:pt idx="6">
                <c:v>12</c:v>
              </c:pt>
              <c:pt idx="7">
                <c:v>34</c:v>
              </c:pt>
              <c:pt idx="8">
                <c:v>52</c:v>
              </c:pt>
              <c:pt idx="9">
                <c:v>135</c:v>
              </c:pt>
              <c:pt idx="10">
                <c:v>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datatracker.ietf.org/doc/html/rfc3696"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datatracker.ietf.org/doc/html/rfc3696" TargetMode="External"/><Relationship Id="rId1" Type="http://schemas.openxmlformats.org/officeDocument/2006/relationships/hyperlink" Target="KuriMedia.drawio"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fontawesome.com/v4/get-started/" TargetMode="External"/><Relationship Id="rId10" Type="http://schemas.openxmlformats.org/officeDocument/2006/relationships/image" Target="../media/image7.emf"/><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0" t="s">
        <v>27</v>
      </c>
      <c r="C93" s="180"/>
      <c r="D93" s="180"/>
      <c r="E93" s="139" t="s">
        <v>165</v>
      </c>
      <c r="G93" s="181" t="s">
        <v>28</v>
      </c>
      <c r="H93" s="181"/>
      <c r="I93" s="181"/>
      <c r="J93" s="140" t="s">
        <v>219</v>
      </c>
      <c r="L93" s="182" t="s">
        <v>39</v>
      </c>
      <c r="M93" s="182"/>
      <c r="N93" s="183" t="s">
        <v>220</v>
      </c>
      <c r="O93" s="184"/>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6"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5" t="s">
        <v>26</v>
      </c>
      <c r="D1" s="195"/>
      <c r="E1" s="19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6"/>
      <c r="D7" s="196"/>
      <c r="E7" s="19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3" t="str">
        <f>E96</f>
        <v>88h</v>
      </c>
      <c r="H9" s="193"/>
      <c r="I9" s="193"/>
      <c r="J9" s="193"/>
      <c r="K9" s="193"/>
      <c r="L9" s="193"/>
      <c r="M9" s="193"/>
      <c r="N9" s="193"/>
      <c r="O9" s="193"/>
      <c r="P9" s="193"/>
      <c r="Q9" s="193"/>
      <c r="R9" s="193"/>
      <c r="S9" s="193"/>
      <c r="T9" s="193"/>
      <c r="U9" s="193"/>
      <c r="V9" s="94"/>
      <c r="W9" s="194" t="s">
        <v>19</v>
      </c>
      <c r="X9" s="194"/>
      <c r="Y9" s="194"/>
      <c r="Z9" s="194"/>
      <c r="AA9" s="194"/>
      <c r="AB9" s="194"/>
      <c r="AC9" s="194"/>
      <c r="AD9" s="194"/>
      <c r="AE9" s="194"/>
      <c r="AF9" s="194"/>
      <c r="AG9" s="194"/>
      <c r="AH9" s="193" t="str">
        <f>E98</f>
        <v>35h 40 min</v>
      </c>
      <c r="AI9" s="193"/>
      <c r="AJ9" s="193"/>
      <c r="AK9" s="193"/>
      <c r="AL9" s="193"/>
      <c r="AM9" s="193"/>
      <c r="AN9" s="193"/>
      <c r="AO9" s="193"/>
      <c r="AP9" s="193"/>
      <c r="AQ9" s="193"/>
      <c r="AR9" s="193"/>
      <c r="AS9" s="193"/>
      <c r="AT9" s="193"/>
      <c r="AU9" s="193"/>
      <c r="AV9" s="193"/>
      <c r="AW9" s="19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7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185"/>
      <c r="RS10" s="185"/>
      <c r="RT10" s="185"/>
      <c r="RU10" s="185"/>
      <c r="RV10" s="185"/>
      <c r="RW10" s="185"/>
      <c r="RX10" s="185"/>
      <c r="RY10" s="185"/>
      <c r="RZ10" s="185"/>
      <c r="SA10" s="185"/>
      <c r="SB10" s="185"/>
      <c r="SC10" s="185"/>
      <c r="SD10" s="185"/>
      <c r="SE10" s="185"/>
      <c r="SF10" s="185"/>
      <c r="SG10" s="185"/>
      <c r="SH10" s="185"/>
      <c r="SI10" s="185"/>
      <c r="SJ10" s="185"/>
      <c r="SK10" s="185"/>
      <c r="SL10" s="185"/>
      <c r="SM10" s="185"/>
      <c r="SN10" s="185"/>
      <c r="SO10" s="185"/>
      <c r="SP10" s="185"/>
      <c r="SQ10" s="185"/>
      <c r="SR10" s="185"/>
      <c r="SS10" s="185"/>
      <c r="ST10" s="185"/>
      <c r="SU10" s="185"/>
      <c r="SV10" s="185"/>
      <c r="SW10" s="185"/>
      <c r="SX10" s="185"/>
      <c r="SY10" s="185"/>
      <c r="SZ10" s="185"/>
      <c r="TA10" s="185"/>
      <c r="TB10" s="185"/>
      <c r="TC10" s="185"/>
      <c r="TD10" s="185"/>
      <c r="TE10" s="185"/>
      <c r="TF10" s="185"/>
      <c r="TG10" s="185"/>
      <c r="TH10" s="185"/>
      <c r="TI10" s="185"/>
      <c r="TJ10" s="185"/>
      <c r="TK10" s="185"/>
      <c r="TL10" s="185"/>
      <c r="TM10" s="185"/>
      <c r="TN10" s="185"/>
      <c r="TO10" s="185"/>
      <c r="TP10" s="185"/>
      <c r="TQ10" s="185"/>
      <c r="TR10" s="185"/>
      <c r="TS10" s="185"/>
      <c r="TT10" s="185"/>
      <c r="TU10" s="185"/>
      <c r="TV10" s="185"/>
      <c r="TW10" s="185"/>
      <c r="TX10" s="185"/>
      <c r="TY10" s="185"/>
      <c r="TZ10" s="185"/>
      <c r="UA10" s="185"/>
      <c r="UB10" s="185"/>
      <c r="UC10" s="185"/>
      <c r="UD10" s="185"/>
      <c r="UE10" s="185"/>
      <c r="UF10" s="185"/>
      <c r="UG10" s="185"/>
      <c r="UH10" s="185"/>
      <c r="UI10" s="185"/>
      <c r="UJ10" s="185"/>
      <c r="UK10" s="185"/>
      <c r="UL10" s="185"/>
      <c r="UM10" s="185"/>
      <c r="UN10" s="185"/>
      <c r="UO10" s="185"/>
      <c r="UP10" s="185"/>
      <c r="UQ10" s="185"/>
      <c r="UR10" s="185"/>
      <c r="US10" s="185"/>
      <c r="UT10" s="185"/>
      <c r="UU10" s="185"/>
      <c r="UV10" s="185"/>
      <c r="UW10" s="185"/>
      <c r="UX10" s="185"/>
      <c r="UY10" s="185"/>
      <c r="UZ10" s="185"/>
      <c r="VA10" s="185"/>
      <c r="VB10" s="185"/>
      <c r="VC10" s="185"/>
      <c r="VD10" s="185"/>
      <c r="VE10" s="185"/>
      <c r="VF10" s="185"/>
      <c r="VG10" s="185"/>
      <c r="VH10" s="185"/>
      <c r="VI10" s="185"/>
      <c r="VJ10" s="185"/>
      <c r="VK10" s="185"/>
      <c r="VL10" s="185"/>
      <c r="VM10" s="185"/>
      <c r="VN10" s="185"/>
      <c r="VO10" s="185"/>
      <c r="VP10" s="185"/>
      <c r="VQ10" s="185"/>
      <c r="VR10" s="185"/>
      <c r="VS10" s="185"/>
      <c r="VT10" s="185"/>
      <c r="VU10" s="185"/>
      <c r="VV10" s="185"/>
      <c r="VW10" s="185"/>
      <c r="VX10" s="185"/>
      <c r="VY10" s="185"/>
      <c r="VZ10" s="185"/>
      <c r="WA10" s="185"/>
      <c r="WB10" s="185"/>
      <c r="WC10" s="185"/>
      <c r="WD10" s="185"/>
      <c r="WE10" s="185"/>
      <c r="WF10" s="185"/>
      <c r="WG10" s="185"/>
      <c r="WH10" s="185"/>
      <c r="WI10" s="185"/>
      <c r="WJ10" s="185"/>
      <c r="WK10" s="185"/>
      <c r="WL10" s="185"/>
      <c r="WM10" s="185"/>
      <c r="WN10" s="185"/>
      <c r="WO10" s="185"/>
      <c r="WP10" s="185"/>
      <c r="WQ10" s="185"/>
      <c r="WR10" s="185"/>
      <c r="WS10" s="185"/>
      <c r="WT10" s="185"/>
      <c r="WU10" s="185"/>
      <c r="WV10" s="185"/>
      <c r="WW10" s="185"/>
      <c r="WX10" s="185"/>
      <c r="WY10" s="185"/>
      <c r="WZ10" s="185"/>
      <c r="XA10" s="185"/>
      <c r="XB10" s="185"/>
      <c r="XC10" s="185"/>
      <c r="XD10" s="185"/>
      <c r="XE10" s="185"/>
      <c r="XF10" s="185"/>
      <c r="XG10" s="185"/>
      <c r="XH10" s="185"/>
      <c r="XI10" s="185"/>
      <c r="XJ10" s="185"/>
      <c r="XK10" s="185"/>
      <c r="XL10" s="185"/>
      <c r="XM10" s="185"/>
      <c r="XN10" s="185"/>
      <c r="XO10" s="185"/>
      <c r="XP10" s="185"/>
      <c r="XQ10" s="185"/>
      <c r="XR10" s="185"/>
      <c r="XS10" s="185"/>
      <c r="XT10" s="185"/>
      <c r="XU10" s="185"/>
      <c r="XV10" s="185"/>
      <c r="XW10" s="185"/>
      <c r="XX10" s="185"/>
      <c r="XY10" s="185"/>
      <c r="XZ10" s="185"/>
      <c r="YA10" s="185"/>
      <c r="YB10" s="185"/>
      <c r="YC10" s="185"/>
      <c r="YD10" s="185"/>
      <c r="YE10" s="185"/>
      <c r="YF10" s="185"/>
      <c r="YG10" s="185"/>
      <c r="YH10" s="185"/>
      <c r="YI10" s="185"/>
      <c r="YJ10" s="185"/>
      <c r="YK10" s="185"/>
      <c r="YL10" s="185"/>
      <c r="YM10" s="185"/>
      <c r="YN10" s="185"/>
      <c r="YO10" s="185"/>
      <c r="YP10" s="185"/>
      <c r="YQ10" s="185"/>
      <c r="YR10" s="185"/>
      <c r="YS10" s="185"/>
      <c r="YT10" s="185"/>
      <c r="YU10" s="185"/>
      <c r="YV10" s="185"/>
      <c r="YW10" s="185"/>
      <c r="YX10" s="185"/>
      <c r="YY10" s="185"/>
      <c r="YZ10" s="185"/>
      <c r="ZA10" s="185"/>
      <c r="ZB10" s="185"/>
      <c r="ZC10" s="185"/>
      <c r="ZD10" s="185"/>
      <c r="ZE10" s="185"/>
      <c r="ZF10" s="185"/>
      <c r="ZG10" s="185"/>
      <c r="ZH10" s="185"/>
      <c r="ZI10" s="185"/>
      <c r="ZJ10" s="185"/>
      <c r="ZK10" s="185"/>
      <c r="ZL10" s="185"/>
      <c r="ZM10" s="185"/>
      <c r="ZN10" s="185"/>
      <c r="ZO10" s="185"/>
      <c r="ZP10" s="185"/>
      <c r="ZQ10" s="185"/>
      <c r="ZR10" s="185"/>
      <c r="ZS10" s="185"/>
      <c r="ZT10" s="185"/>
      <c r="ZU10" s="185"/>
      <c r="ZV10" s="185"/>
      <c r="ZW10" s="185"/>
      <c r="ZX10" s="185"/>
      <c r="ZY10" s="185"/>
      <c r="ZZ10" s="185"/>
      <c r="AAA10" s="185"/>
      <c r="AAB10" s="185"/>
      <c r="AAC10" s="185"/>
      <c r="AAD10" s="185"/>
      <c r="AAE10" s="185"/>
      <c r="AAF10" s="185"/>
      <c r="AAG10" s="185"/>
      <c r="AAH10" s="185"/>
      <c r="AAI10" s="185"/>
      <c r="AAJ10" s="185"/>
      <c r="AAK10" s="185"/>
      <c r="AAL10" s="185"/>
      <c r="AAM10" s="185"/>
      <c r="AAN10" s="185"/>
      <c r="AAO10" s="185"/>
      <c r="AAP10" s="185"/>
      <c r="AAQ10" s="185"/>
      <c r="AAR10" s="185"/>
      <c r="AAS10" s="185"/>
      <c r="AAT10" s="185"/>
      <c r="AAU10" s="185"/>
      <c r="AAV10" s="185"/>
      <c r="AAW10" s="185"/>
      <c r="AAX10" s="185"/>
      <c r="AAY10" s="185"/>
      <c r="AAZ10" s="185"/>
      <c r="ABA10" s="185"/>
      <c r="ABB10" s="185"/>
      <c r="ABC10" s="185"/>
      <c r="ABD10" s="185"/>
      <c r="ABE10" s="185"/>
      <c r="ABF10" s="185"/>
      <c r="ABG10" s="185"/>
      <c r="ABH10" s="185"/>
      <c r="ABI10" s="185"/>
      <c r="ABJ10" s="185"/>
      <c r="ABK10" s="185"/>
      <c r="ABL10" s="185"/>
      <c r="ABM10" s="185"/>
      <c r="ABN10" s="185"/>
      <c r="ABO10" s="185"/>
      <c r="ABP10" s="185"/>
      <c r="ABQ10" s="185"/>
      <c r="ABR10" s="185"/>
      <c r="ABS10" s="185"/>
      <c r="ABT10" s="185"/>
      <c r="ABU10" s="185"/>
      <c r="ABV10" s="185"/>
      <c r="ABW10" s="185"/>
      <c r="ABX10" s="185"/>
      <c r="ABY10" s="185"/>
      <c r="ABZ10" s="185"/>
      <c r="ACA10" s="185"/>
      <c r="ACB10" s="185"/>
      <c r="ACC10" s="185"/>
      <c r="ACD10" s="185"/>
      <c r="ACE10" s="185"/>
      <c r="ACF10" s="185"/>
      <c r="ACG10" s="185"/>
      <c r="ACH10" s="185"/>
      <c r="ACI10" s="185"/>
      <c r="ACJ10" s="185"/>
      <c r="ACK10" s="185"/>
      <c r="ACL10" s="185"/>
      <c r="ACM10" s="185"/>
      <c r="ACN10" s="185"/>
      <c r="ACO10" s="185"/>
      <c r="ACP10" s="185"/>
      <c r="ACQ10" s="185"/>
      <c r="ACR10" s="185"/>
      <c r="ACS10" s="185"/>
      <c r="ACT10" s="185"/>
      <c r="ACU10" s="185"/>
      <c r="ACV10" s="185"/>
      <c r="ACW10" s="185"/>
      <c r="ACX10" s="185"/>
      <c r="ACY10" s="185"/>
      <c r="ACZ10" s="185"/>
      <c r="ADA10" s="185"/>
      <c r="ADB10" s="185"/>
      <c r="ADC10" s="185"/>
      <c r="ADD10" s="185"/>
      <c r="ADE10" s="185"/>
      <c r="ADF10" s="185"/>
      <c r="ADG10" s="185"/>
      <c r="ADH10" s="185"/>
      <c r="ADI10" s="185"/>
      <c r="ADJ10" s="185"/>
      <c r="ADK10" s="185"/>
      <c r="ADL10" s="185"/>
      <c r="ADM10" s="185"/>
      <c r="ADN10" s="185"/>
      <c r="ADO10" s="185"/>
      <c r="ADP10" s="185"/>
      <c r="ADQ10" s="185"/>
      <c r="ADR10" s="185"/>
      <c r="ADS10" s="185"/>
      <c r="ADT10" s="185"/>
      <c r="ADU10" s="185"/>
      <c r="ADV10" s="185"/>
      <c r="ADW10" s="185"/>
      <c r="ADX10" s="185"/>
      <c r="ADY10" s="185"/>
      <c r="ADZ10" s="185"/>
      <c r="AEA10" s="185"/>
      <c r="AEB10" s="185"/>
      <c r="AEC10" s="185"/>
      <c r="AED10" s="185"/>
      <c r="AEE10" s="185"/>
      <c r="AEF10" s="185"/>
      <c r="AEG10" s="185"/>
      <c r="AEH10" s="185"/>
      <c r="AEI10" s="185"/>
      <c r="AEJ10" s="185"/>
      <c r="AEK10" s="185"/>
      <c r="AEL10" s="185"/>
      <c r="AEM10" s="185"/>
      <c r="AEN10" s="185"/>
      <c r="AEO10" s="185"/>
      <c r="AEP10" s="185"/>
      <c r="AEQ10" s="185"/>
      <c r="AER10" s="185"/>
      <c r="AES10" s="185"/>
      <c r="AET10" s="185"/>
      <c r="AEU10" s="185"/>
      <c r="AEV10" s="185"/>
      <c r="AEW10" s="185"/>
      <c r="AEX10" s="185"/>
      <c r="AEY10" s="185"/>
      <c r="AEZ10" s="185"/>
      <c r="AFA10" s="185"/>
      <c r="AFB10" s="185"/>
      <c r="AFC10" s="185"/>
      <c r="AFD10" s="185"/>
      <c r="AFE10" s="185"/>
      <c r="AFF10" s="185"/>
      <c r="AFG10" s="185"/>
      <c r="AFH10" s="185"/>
      <c r="AFI10" s="185"/>
      <c r="AFJ10" s="185"/>
      <c r="AFK10" s="185"/>
      <c r="AFL10" s="185"/>
      <c r="AFM10" s="185"/>
      <c r="AFN10" s="185"/>
      <c r="AFO10" s="185"/>
      <c r="AFP10" s="185"/>
      <c r="AFQ10" s="185"/>
      <c r="AFR10" s="185"/>
      <c r="AFS10" s="185"/>
      <c r="AFT10" s="185"/>
      <c r="AFU10" s="185"/>
      <c r="AFV10" s="185"/>
      <c r="AFW10" s="185"/>
      <c r="AFX10" s="185"/>
      <c r="AFY10" s="185"/>
      <c r="AFZ10" s="185"/>
      <c r="AGA10" s="185"/>
      <c r="AGB10" s="185"/>
      <c r="AGC10" s="185"/>
      <c r="AGD10" s="185"/>
      <c r="AGE10" s="185"/>
      <c r="AGF10" s="185"/>
      <c r="AGG10" s="185"/>
      <c r="AGH10" s="185"/>
      <c r="AGI10" s="185"/>
      <c r="AGJ10" s="185"/>
      <c r="AGK10" s="185"/>
      <c r="AGL10" s="185"/>
      <c r="AGM10" s="185"/>
      <c r="AGN10" s="185"/>
      <c r="AGO10" s="185"/>
      <c r="AGP10" s="185"/>
      <c r="AGQ10" s="185"/>
      <c r="AGR10" s="185"/>
      <c r="AGS10" s="185"/>
      <c r="AGT10" s="185"/>
      <c r="AGU10" s="185"/>
      <c r="AGV10" s="185"/>
      <c r="AGW10" s="185"/>
      <c r="AGX10" s="185"/>
      <c r="AGY10" s="185"/>
      <c r="AGZ10" s="185"/>
      <c r="AHA10" s="185"/>
      <c r="AHB10" s="185"/>
      <c r="AHC10" s="185"/>
      <c r="AHD10" s="185"/>
      <c r="AHE10" s="185"/>
      <c r="AHF10" s="185"/>
      <c r="AHG10" s="185"/>
      <c r="AHH10" s="185"/>
      <c r="AHI10" s="185"/>
      <c r="AHJ10" s="185"/>
      <c r="AHK10" s="185"/>
      <c r="AHL10" s="185"/>
      <c r="AHM10" s="185"/>
      <c r="AHN10" s="185"/>
      <c r="AHO10" s="185"/>
      <c r="AHP10" s="185"/>
      <c r="AHQ10" s="185"/>
      <c r="AHR10" s="185"/>
      <c r="AHS10" s="185"/>
      <c r="AHT10" s="185"/>
      <c r="AHU10" s="185"/>
      <c r="AHV10" s="185"/>
      <c r="AHW10" s="185"/>
      <c r="AHX10" s="185"/>
      <c r="AHY10" s="185"/>
      <c r="AHZ10" s="185"/>
      <c r="AIA10" s="185"/>
      <c r="AIB10" s="185"/>
      <c r="AIC10" s="185"/>
      <c r="AID10" s="185"/>
      <c r="AIE10" s="185"/>
      <c r="AIF10" s="185"/>
      <c r="AIG10" s="185"/>
      <c r="AIH10" s="185"/>
      <c r="AII10" s="185"/>
      <c r="AIJ10" s="185"/>
      <c r="AIK10" s="185"/>
      <c r="AIL10" s="185"/>
      <c r="AIM10" s="185"/>
      <c r="AIN10" s="185"/>
      <c r="AIO10" s="185"/>
      <c r="AIP10" s="185"/>
      <c r="AIQ10" s="185"/>
      <c r="AIR10" s="185"/>
      <c r="AIS10" s="185"/>
      <c r="AIT10" s="185"/>
      <c r="AIU10" s="185"/>
      <c r="AIV10" s="185"/>
      <c r="AIW10" s="185"/>
      <c r="AIX10" s="185"/>
      <c r="AIY10" s="185"/>
      <c r="AIZ10" s="185"/>
      <c r="AJA10" s="185"/>
      <c r="AJB10" s="185"/>
      <c r="AJC10" s="185"/>
      <c r="AJD10" s="185"/>
      <c r="AJE10" s="185"/>
      <c r="AJF10" s="185"/>
      <c r="AJG10" s="185"/>
      <c r="AJH10" s="185"/>
      <c r="AJI10" s="185"/>
      <c r="AJJ10" s="185"/>
      <c r="AJK10" s="185"/>
      <c r="AJL10" s="185"/>
      <c r="AJM10" s="185"/>
      <c r="AJN10" s="185"/>
      <c r="AJO10" s="185"/>
      <c r="AJP10" s="185"/>
      <c r="AJQ10" s="185"/>
      <c r="AJR10" s="185"/>
      <c r="AJS10" s="185"/>
      <c r="AJT10" s="185"/>
      <c r="AJU10" s="185"/>
      <c r="AJV10" s="185"/>
      <c r="AJW10" s="185"/>
      <c r="AJX10" s="185"/>
      <c r="AJY10" s="185"/>
      <c r="AJZ10" s="185"/>
      <c r="AKA10" s="185"/>
      <c r="AKB10" s="185"/>
      <c r="AKC10" s="185"/>
      <c r="AKD10" s="185"/>
      <c r="AKE10" s="185"/>
      <c r="AKF10" s="185"/>
      <c r="AKG10" s="185"/>
      <c r="AKH10" s="185"/>
      <c r="AKI10" s="185"/>
      <c r="AKJ10" s="185"/>
      <c r="AKK10" s="185"/>
      <c r="AKL10" s="185"/>
      <c r="AKM10" s="185"/>
      <c r="AKN10" s="185"/>
      <c r="AKO10" s="185"/>
      <c r="AKP10" s="185"/>
      <c r="AKQ10" s="185"/>
      <c r="AKR10" s="185"/>
      <c r="AKS10" s="185"/>
      <c r="AKT10" s="185"/>
      <c r="AKU10" s="185"/>
      <c r="AKV10" s="185"/>
      <c r="AKW10" s="185"/>
      <c r="AKX10" s="185"/>
      <c r="AKY10" s="185"/>
      <c r="AKZ10" s="185"/>
      <c r="ALA10" s="185"/>
      <c r="ALB10" s="185"/>
      <c r="ALC10" s="185"/>
      <c r="ALD10" s="185"/>
      <c r="ALE10" s="185"/>
      <c r="ALF10" s="185"/>
      <c r="ALG10" s="185"/>
      <c r="ALH10" s="185"/>
      <c r="ALI10" s="185"/>
      <c r="ALJ10" s="185"/>
      <c r="ALK10" s="185"/>
      <c r="ALL10" s="185"/>
      <c r="ALM10" s="185"/>
      <c r="ALN10" s="185"/>
      <c r="ALO10" s="185"/>
      <c r="ALP10" s="185"/>
      <c r="ALQ10" s="185"/>
      <c r="ALR10" s="185"/>
      <c r="ALS10" s="185"/>
      <c r="ALT10" s="185"/>
      <c r="ALU10" s="185"/>
      <c r="ALV10" s="185"/>
      <c r="ALW10" s="185"/>
      <c r="ALX10" s="185"/>
      <c r="ALY10" s="185"/>
      <c r="ALZ10" s="185"/>
      <c r="AMA10" s="185"/>
      <c r="AMB10" s="185"/>
      <c r="AMC10" s="185"/>
      <c r="AMD10" s="185"/>
      <c r="AME10" s="185"/>
      <c r="AMF10" s="185"/>
      <c r="AMG10" s="185"/>
      <c r="AMH10" s="185"/>
      <c r="AMI10" s="185"/>
      <c r="AMJ10" s="185"/>
      <c r="AMK10" s="185"/>
      <c r="AML10" s="185"/>
      <c r="AMM10" s="185"/>
      <c r="AMN10" s="185"/>
      <c r="AMO10" s="185"/>
      <c r="AMP10" s="185"/>
      <c r="AMQ10" s="185"/>
      <c r="AMR10" s="185"/>
      <c r="AMS10" s="185"/>
      <c r="AMT10" s="185"/>
      <c r="AMU10" s="185"/>
      <c r="AMV10" s="185"/>
      <c r="AMW10" s="185"/>
      <c r="AMX10" s="185"/>
      <c r="AMY10" s="185"/>
      <c r="AMZ10" s="185"/>
      <c r="ANA10" s="185"/>
      <c r="ANB10" s="185"/>
      <c r="ANC10" s="185"/>
      <c r="AND10" s="185"/>
      <c r="ANE10" s="185"/>
      <c r="ANF10" s="185"/>
      <c r="ANG10" s="185"/>
      <c r="ANH10" s="185"/>
      <c r="ANI10" s="185"/>
      <c r="ANJ10" s="185"/>
      <c r="ANK10" s="185"/>
      <c r="ANL10" s="185"/>
      <c r="ANM10" s="185"/>
      <c r="ANN10" s="185"/>
      <c r="ANO10" s="185"/>
      <c r="ANP10" s="185"/>
      <c r="ANQ10" s="185"/>
      <c r="ANR10" s="185"/>
      <c r="ANS10" s="185"/>
      <c r="ANT10" s="185"/>
      <c r="ANU10" s="185"/>
      <c r="ANV10" s="185"/>
      <c r="ANW10" s="185"/>
      <c r="ANX10" s="185"/>
      <c r="ANY10" s="185"/>
      <c r="ANZ10" s="185"/>
      <c r="AOA10" s="185"/>
      <c r="AOB10" s="185"/>
      <c r="AOC10" s="185"/>
      <c r="AOD10" s="185"/>
      <c r="AOE10" s="185"/>
      <c r="AOF10" s="185"/>
      <c r="AOG10" s="185"/>
      <c r="AOH10" s="185"/>
      <c r="AOI10" s="185"/>
      <c r="AOJ10" s="185"/>
      <c r="AOK10" s="185"/>
      <c r="AOL10" s="185"/>
      <c r="AOM10" s="185"/>
      <c r="AON10" s="185"/>
      <c r="AOO10" s="185"/>
      <c r="AOP10" s="185"/>
      <c r="AOQ10" s="185"/>
      <c r="AOR10" s="185"/>
      <c r="AOS10" s="185"/>
      <c r="AOT10" s="185"/>
      <c r="AOU10" s="185"/>
      <c r="AOV10" s="185"/>
      <c r="AOW10" s="185"/>
      <c r="AOX10" s="185"/>
      <c r="AOY10" s="185"/>
      <c r="AOZ10" s="185"/>
      <c r="APA10" s="185"/>
      <c r="APB10" s="185"/>
      <c r="APC10" s="185"/>
      <c r="APD10" s="185"/>
      <c r="APE10" s="185"/>
      <c r="APF10" s="185"/>
      <c r="APG10" s="185"/>
      <c r="APH10" s="185"/>
      <c r="API10" s="185"/>
      <c r="APJ10" s="185"/>
      <c r="APK10" s="185"/>
      <c r="APL10" s="185"/>
      <c r="APM10" s="185"/>
      <c r="APN10" s="185"/>
      <c r="APO10" s="185"/>
      <c r="APP10" s="185"/>
      <c r="APQ10" s="185"/>
      <c r="APR10" s="185"/>
      <c r="APS10" s="185"/>
      <c r="APT10" s="185"/>
      <c r="APU10" s="185"/>
      <c r="APV10" s="185"/>
      <c r="APW10" s="185"/>
      <c r="APX10" s="185"/>
      <c r="APY10" s="185"/>
      <c r="APZ10" s="185"/>
      <c r="AQA10" s="185"/>
      <c r="AQB10" s="185"/>
      <c r="AQC10" s="185"/>
      <c r="AQD10" s="185"/>
      <c r="AQE10" s="185"/>
      <c r="AQF10" s="185"/>
      <c r="AQG10" s="185"/>
      <c r="AQH10" s="185"/>
      <c r="AQI10" s="185"/>
      <c r="AQJ10" s="185"/>
      <c r="AQK10" s="185"/>
      <c r="AQL10" s="185"/>
      <c r="AQM10" s="185"/>
      <c r="AQN10" s="185"/>
      <c r="AQO10" s="185"/>
      <c r="AQP10" s="185"/>
      <c r="AQQ10" s="185"/>
      <c r="AQR10" s="185"/>
      <c r="AQS10" s="185"/>
      <c r="AQT10" s="185"/>
      <c r="AQU10" s="185"/>
      <c r="AQV10" s="185"/>
      <c r="AQW10" s="185"/>
      <c r="AQX10" s="185"/>
      <c r="AQY10" s="185"/>
      <c r="AQZ10" s="185"/>
      <c r="ARA10" s="185"/>
      <c r="ARB10" s="185"/>
      <c r="ARC10" s="185"/>
      <c r="ARD10" s="185"/>
      <c r="ARE10" s="185"/>
      <c r="ARF10" s="185"/>
      <c r="ARG10" s="185"/>
      <c r="ARH10" s="185"/>
      <c r="ARI10" s="185"/>
      <c r="ARJ10" s="185"/>
      <c r="ARK10" s="185"/>
      <c r="ARL10" s="185"/>
      <c r="ARM10" s="185"/>
      <c r="ARN10" s="185"/>
      <c r="ARO10" s="185"/>
      <c r="ARP10" s="185"/>
      <c r="ARQ10" s="185"/>
      <c r="ARR10" s="185"/>
      <c r="ARS10" s="185"/>
      <c r="ART10" s="185"/>
      <c r="ARU10" s="185"/>
      <c r="ARV10" s="185"/>
      <c r="ARW10" s="185"/>
      <c r="ARX10" s="185"/>
      <c r="ARY10" s="185"/>
      <c r="ARZ10" s="185"/>
      <c r="ASA10" s="185"/>
      <c r="ASB10" s="185"/>
      <c r="ASC10" s="185"/>
      <c r="ASD10" s="185"/>
      <c r="ASE10" s="185"/>
      <c r="ASF10" s="185"/>
      <c r="ASG10" s="185"/>
      <c r="ASH10" s="185"/>
      <c r="ASI10" s="185"/>
      <c r="ASJ10" s="185"/>
      <c r="ASK10" s="185"/>
      <c r="ASL10" s="185"/>
      <c r="ASM10" s="185"/>
      <c r="ASN10" s="185"/>
      <c r="ASO10" s="185"/>
      <c r="ASP10" s="185"/>
      <c r="ASQ10" s="185"/>
      <c r="ASR10" s="185"/>
      <c r="ASS10" s="185"/>
      <c r="AST10" s="185"/>
      <c r="ASU10" s="185"/>
      <c r="ASV10" s="185"/>
      <c r="ASW10" s="185"/>
      <c r="ASX10" s="185"/>
      <c r="ASY10" s="185"/>
      <c r="ASZ10" s="185"/>
      <c r="ATA10" s="185"/>
      <c r="ATB10" s="185"/>
      <c r="ATC10" s="185"/>
      <c r="ATD10" s="185"/>
      <c r="ATE10" s="185"/>
      <c r="ATF10" s="185"/>
      <c r="ATG10" s="185"/>
      <c r="ATH10" s="185"/>
      <c r="ATI10" s="185"/>
      <c r="ATJ10" s="185"/>
      <c r="ATK10" s="185"/>
      <c r="ATL10" s="185"/>
      <c r="ATM10" s="185"/>
      <c r="ATN10" s="185"/>
      <c r="ATO10" s="185"/>
      <c r="ATP10" s="185"/>
      <c r="ATQ10" s="185"/>
      <c r="ATR10" s="185"/>
      <c r="ATS10" s="185"/>
      <c r="ATT10" s="185"/>
      <c r="ATU10" s="185"/>
      <c r="ATV10" s="185"/>
      <c r="ATW10" s="185"/>
      <c r="ATX10" s="185"/>
      <c r="ATY10" s="185"/>
      <c r="ATZ10" s="185"/>
      <c r="AUA10" s="185"/>
      <c r="AUB10" s="185"/>
      <c r="AUC10" s="185"/>
      <c r="AUD10" s="185"/>
      <c r="AUE10" s="185"/>
      <c r="AUF10" s="185"/>
      <c r="AUG10" s="185"/>
      <c r="AUH10" s="185"/>
      <c r="AUI10" s="185"/>
      <c r="AUJ10" s="185"/>
      <c r="AUK10" s="185"/>
      <c r="AUL10" s="185"/>
      <c r="AUM10" s="185"/>
      <c r="AUN10" s="185"/>
      <c r="AUO10" s="185"/>
      <c r="AUP10" s="185"/>
      <c r="AUQ10" s="185"/>
      <c r="AUR10" s="185"/>
      <c r="AUS10" s="185"/>
      <c r="AUT10" s="185"/>
      <c r="AUU10" s="185"/>
      <c r="AUV10" s="185"/>
      <c r="AUW10" s="185"/>
      <c r="AUX10" s="185"/>
      <c r="AUY10" s="185"/>
      <c r="AUZ10" s="185"/>
      <c r="AVA10" s="185"/>
      <c r="AVB10" s="185"/>
      <c r="AVC10" s="185"/>
      <c r="AVD10" s="185"/>
      <c r="AVE10" s="185"/>
      <c r="AVF10" s="185"/>
      <c r="AVG10" s="185"/>
      <c r="AVH10" s="185"/>
      <c r="AVI10" s="185"/>
      <c r="AVJ10" s="185"/>
      <c r="AVK10" s="185"/>
      <c r="AVL10" s="185"/>
      <c r="AVM10" s="185"/>
      <c r="AVN10" s="185"/>
      <c r="AVO10" s="185"/>
      <c r="AVP10" s="185"/>
      <c r="AVQ10" s="185"/>
      <c r="AVR10" s="185"/>
      <c r="AVS10" s="185"/>
      <c r="AVT10" s="185"/>
      <c r="AVU10" s="185"/>
      <c r="AVV10" s="185"/>
      <c r="AVW10" s="185"/>
      <c r="AVX10" s="185"/>
      <c r="AVY10" s="185"/>
      <c r="AVZ10" s="185"/>
      <c r="AWA10" s="185"/>
      <c r="AWB10" s="185"/>
      <c r="AWC10" s="185"/>
      <c r="AWD10" s="185"/>
      <c r="AWE10" s="185"/>
      <c r="AWF10" s="185"/>
      <c r="AWG10" s="185"/>
      <c r="AWH10" s="185"/>
      <c r="AWI10" s="185"/>
      <c r="AWJ10" s="185"/>
      <c r="AWK10" s="185"/>
      <c r="AWL10" s="185"/>
      <c r="AWM10" s="185"/>
      <c r="AWN10" s="185"/>
      <c r="AWO10" s="185"/>
      <c r="AWP10" s="185"/>
      <c r="AWQ10" s="185"/>
      <c r="AWR10" s="185"/>
      <c r="AWS10" s="185"/>
      <c r="AWT10" s="185"/>
      <c r="AWU10" s="185"/>
      <c r="AWV10" s="185"/>
      <c r="AWW10" s="185"/>
      <c r="AWX10" s="185"/>
      <c r="AWY10" s="185"/>
      <c r="AWZ10" s="185"/>
      <c r="AXA10" s="185"/>
      <c r="AXB10" s="185"/>
      <c r="AXC10" s="185"/>
      <c r="AXD10" s="185"/>
      <c r="AXE10" s="185"/>
      <c r="AXF10" s="185"/>
      <c r="AXG10" s="185"/>
      <c r="AXH10" s="185"/>
      <c r="AXI10" s="185"/>
      <c r="AXJ10" s="185"/>
      <c r="AXK10" s="185"/>
      <c r="AXL10" s="185"/>
      <c r="AXM10" s="185"/>
      <c r="AXN10" s="185"/>
      <c r="AXO10" s="185"/>
      <c r="AXP10" s="185"/>
      <c r="AXQ10" s="185"/>
      <c r="AXR10" s="185"/>
      <c r="AXS10" s="185"/>
      <c r="AXT10" s="185"/>
      <c r="AXU10" s="185"/>
      <c r="AXV10" s="185"/>
      <c r="AXW10" s="185"/>
      <c r="AXX10" s="185"/>
      <c r="AXY10" s="185"/>
      <c r="AXZ10" s="185"/>
      <c r="AYA10" s="185"/>
      <c r="AYB10" s="185"/>
      <c r="AYC10" s="185"/>
      <c r="AYD10" s="185"/>
      <c r="AYE10" s="185"/>
      <c r="AYF10" s="185"/>
      <c r="AYG10" s="185"/>
      <c r="AYH10" s="185"/>
      <c r="AYI10" s="185"/>
      <c r="AYJ10" s="185"/>
      <c r="AYK10" s="185"/>
      <c r="AYL10" s="185"/>
      <c r="AYM10" s="185"/>
      <c r="AYN10" s="185"/>
      <c r="AYO10" s="185"/>
      <c r="AYP10" s="185"/>
      <c r="AYQ10" s="185"/>
      <c r="AYR10" s="185"/>
      <c r="AYS10" s="185"/>
      <c r="AYT10" s="185"/>
      <c r="AYU10" s="185"/>
      <c r="AYV10" s="185"/>
      <c r="AYW10" s="185"/>
      <c r="AYX10" s="185"/>
      <c r="AYY10" s="185"/>
      <c r="AYZ10" s="185"/>
      <c r="AZA10" s="185"/>
      <c r="AZB10" s="185"/>
      <c r="AZC10" s="185"/>
      <c r="AZD10" s="185"/>
      <c r="AZE10" s="185"/>
      <c r="AZF10" s="185"/>
      <c r="AZG10" s="185"/>
      <c r="AZH10" s="185"/>
      <c r="AZI10" s="185"/>
      <c r="AZJ10" s="185"/>
      <c r="AZK10" s="185"/>
      <c r="AZL10" s="185"/>
      <c r="AZM10" s="185"/>
      <c r="AZN10" s="185"/>
      <c r="AZO10" s="185"/>
      <c r="AZP10" s="185"/>
      <c r="AZQ10" s="185"/>
      <c r="AZR10" s="185"/>
      <c r="AZS10" s="185"/>
      <c r="AZT10" s="185"/>
      <c r="AZU10" s="185"/>
      <c r="AZV10" s="185"/>
      <c r="AZW10" s="185"/>
      <c r="AZX10" s="185"/>
      <c r="AZY10" s="185"/>
      <c r="AZZ10" s="185"/>
      <c r="BAA10" s="185"/>
      <c r="BAB10" s="185"/>
      <c r="BAC10" s="185"/>
      <c r="BAD10" s="185"/>
      <c r="BAE10" s="185"/>
      <c r="BAF10" s="185"/>
      <c r="BAG10" s="185"/>
      <c r="BAH10" s="185"/>
      <c r="BAI10" s="185"/>
      <c r="BAJ10" s="185"/>
      <c r="BAK10" s="185"/>
      <c r="BAL10" s="185"/>
      <c r="BAM10" s="185"/>
      <c r="BAN10" s="185"/>
      <c r="BAO10" s="185"/>
      <c r="BAP10" s="185"/>
      <c r="BAQ10" s="185"/>
      <c r="BAR10" s="185"/>
      <c r="BAS10" s="185"/>
      <c r="BAT10" s="185"/>
      <c r="BAU10" s="185"/>
      <c r="BAV10" s="185"/>
      <c r="BAW10" s="185"/>
      <c r="BAX10" s="185"/>
      <c r="BAY10" s="185"/>
      <c r="BAZ10" s="185"/>
      <c r="BBA10" s="185"/>
      <c r="BBB10" s="185"/>
      <c r="BBC10" s="185"/>
      <c r="BBD10" s="185"/>
      <c r="BBE10" s="185"/>
      <c r="BBF10" s="185"/>
      <c r="BBG10" s="185"/>
      <c r="BBH10" s="185"/>
      <c r="BBI10" s="185"/>
      <c r="BBJ10" s="185"/>
      <c r="BBK10" s="185"/>
      <c r="BBL10" s="185"/>
      <c r="BBM10" s="185"/>
      <c r="BBN10" s="185"/>
      <c r="BBO10" s="185"/>
      <c r="BBP10" s="185"/>
      <c r="BBQ10" s="185"/>
      <c r="BBR10" s="185"/>
      <c r="BBS10" s="185"/>
      <c r="BBT10" s="185"/>
      <c r="BBU10" s="185"/>
      <c r="BBV10" s="185"/>
      <c r="BBW10" s="185"/>
      <c r="BBX10" s="185"/>
      <c r="BBY10" s="185"/>
      <c r="BBZ10" s="185"/>
      <c r="BCA10" s="185"/>
      <c r="BCB10" s="185"/>
      <c r="BCC10" s="185"/>
      <c r="BCD10" s="185"/>
      <c r="BCE10" s="185"/>
      <c r="BCF10" s="185"/>
      <c r="BCG10" s="185"/>
      <c r="BCH10" s="185"/>
      <c r="BCI10" s="185"/>
      <c r="BCJ10" s="185"/>
      <c r="BCK10" s="185"/>
      <c r="BCL10" s="185"/>
      <c r="BCM10" s="185"/>
      <c r="BCN10" s="185"/>
      <c r="BCO10" s="185"/>
      <c r="BCP10" s="185"/>
      <c r="BCQ10" s="185"/>
      <c r="BCR10" s="185"/>
      <c r="BCS10" s="185"/>
      <c r="BCT10" s="185"/>
      <c r="BCU10" s="185"/>
      <c r="BCV10" s="185"/>
      <c r="BCW10" s="185"/>
      <c r="BCX10" s="185"/>
      <c r="BCY10" s="185"/>
      <c r="BCZ10" s="185"/>
      <c r="BDA10" s="185"/>
      <c r="BDB10" s="185"/>
      <c r="BDC10" s="185"/>
      <c r="BDD10" s="185"/>
      <c r="BDE10" s="185"/>
      <c r="BDF10" s="185"/>
      <c r="BDG10" s="185"/>
      <c r="BDH10" s="185"/>
      <c r="BDI10" s="185"/>
      <c r="BDJ10" s="185"/>
      <c r="BDK10" s="185"/>
      <c r="BDL10" s="185"/>
      <c r="BDM10" s="185"/>
      <c r="BDN10" s="185"/>
      <c r="BDO10" s="185"/>
      <c r="BDP10" s="185"/>
      <c r="BDQ10" s="185"/>
      <c r="BDR10" s="185"/>
      <c r="BDS10" s="185"/>
      <c r="BDT10" s="185"/>
      <c r="BDU10" s="185"/>
      <c r="BDV10" s="185"/>
      <c r="BDW10" s="185"/>
      <c r="BDX10" s="185"/>
      <c r="BDY10" s="185"/>
      <c r="BDZ10" s="185"/>
      <c r="BEA10" s="185"/>
      <c r="BEB10" s="185"/>
      <c r="BEC10" s="185"/>
      <c r="BED10" s="185"/>
      <c r="BEE10" s="185"/>
      <c r="BEF10" s="185"/>
      <c r="BEG10" s="185"/>
      <c r="BEH10" s="185"/>
      <c r="BEI10" s="185"/>
      <c r="BEJ10" s="185"/>
      <c r="BEK10" s="185"/>
      <c r="BEL10" s="185"/>
      <c r="BEM10" s="185"/>
      <c r="BEN10" s="185"/>
      <c r="BEO10" s="185"/>
      <c r="BEP10" s="185"/>
      <c r="BEQ10" s="185"/>
      <c r="BER10" s="185"/>
      <c r="BES10" s="185"/>
      <c r="BET10" s="185"/>
      <c r="BEU10" s="185"/>
      <c r="BEV10" s="185"/>
      <c r="BEW10" s="185"/>
      <c r="BEX10" s="185"/>
      <c r="BEY10" s="185"/>
      <c r="BEZ10" s="185"/>
      <c r="BFA10" s="185"/>
      <c r="BFB10" s="185"/>
      <c r="BFC10" s="185"/>
      <c r="BFD10" s="185"/>
      <c r="BFE10" s="185"/>
      <c r="BFF10" s="185"/>
      <c r="BFG10" s="185"/>
      <c r="BFH10" s="185"/>
      <c r="BFI10" s="185"/>
      <c r="BFJ10" s="185"/>
      <c r="BFK10" s="185"/>
      <c r="BFL10" s="185"/>
      <c r="BFM10" s="185"/>
      <c r="BFN10" s="185"/>
      <c r="BFO10" s="185"/>
      <c r="BFP10" s="185"/>
      <c r="BFQ10" s="185"/>
      <c r="BFR10" s="185"/>
      <c r="BFS10" s="185"/>
      <c r="BFT10" s="185"/>
      <c r="BFU10" s="185"/>
      <c r="BFV10" s="185"/>
      <c r="BFW10" s="185"/>
      <c r="BFX10" s="185"/>
      <c r="BFY10" s="185"/>
      <c r="BFZ10" s="185"/>
      <c r="BGA10" s="185"/>
      <c r="BGB10" s="185"/>
      <c r="BGC10" s="185"/>
      <c r="BGD10" s="185"/>
      <c r="BGE10" s="185"/>
      <c r="BGF10" s="185"/>
      <c r="BGG10" s="185"/>
      <c r="BGH10" s="185"/>
      <c r="BGI10" s="185"/>
      <c r="BGJ10" s="185"/>
      <c r="BGK10" s="185"/>
      <c r="BGL10" s="185"/>
      <c r="BGM10" s="185"/>
      <c r="BGN10" s="185"/>
      <c r="BGO10" s="185"/>
      <c r="BGP10" s="185"/>
      <c r="BGQ10" s="185"/>
      <c r="BGR10" s="185"/>
      <c r="BGS10" s="185"/>
      <c r="BGT10" s="185"/>
      <c r="BGU10" s="185"/>
      <c r="BGV10" s="185"/>
      <c r="BGW10" s="185"/>
      <c r="BGX10" s="185"/>
      <c r="BGY10" s="185"/>
      <c r="BGZ10" s="185"/>
      <c r="BHA10" s="185"/>
      <c r="BHB10" s="185"/>
      <c r="BHC10" s="185"/>
      <c r="BHD10" s="185"/>
      <c r="BHE10" s="185"/>
      <c r="BHF10" s="185"/>
      <c r="BHG10" s="185"/>
      <c r="BHH10" s="185"/>
      <c r="BHI10" s="185"/>
      <c r="BHJ10" s="185"/>
      <c r="BHK10" s="185"/>
      <c r="BHL10" s="185"/>
      <c r="BHM10" s="185"/>
      <c r="BHN10" s="185"/>
      <c r="BHO10" s="185"/>
      <c r="BHP10" s="185"/>
      <c r="BHQ10" s="185"/>
      <c r="BHR10" s="185"/>
      <c r="BHS10" s="185"/>
      <c r="BHT10" s="185"/>
      <c r="BHU10" s="185"/>
      <c r="BHV10" s="185"/>
      <c r="BHW10" s="185"/>
      <c r="BHX10" s="185"/>
      <c r="BHY10" s="185"/>
      <c r="BHZ10" s="185"/>
      <c r="BIA10" s="185"/>
      <c r="BIB10" s="185"/>
      <c r="BIC10" s="185"/>
      <c r="BID10" s="185"/>
      <c r="BIE10" s="185"/>
      <c r="BIF10" s="185"/>
      <c r="BIG10" s="185"/>
      <c r="BIH10" s="185"/>
      <c r="BII10" s="185"/>
      <c r="BIJ10" s="185"/>
      <c r="BIK10" s="185"/>
      <c r="BIL10" s="185"/>
      <c r="BIM10" s="185"/>
      <c r="BIN10" s="185"/>
      <c r="BIO10" s="185"/>
      <c r="BIP10" s="185"/>
      <c r="BIQ10" s="185"/>
      <c r="BIR10" s="185"/>
      <c r="BIS10" s="185"/>
      <c r="BIT10" s="185"/>
      <c r="BIU10" s="185"/>
      <c r="BIV10" s="185"/>
      <c r="BIW10" s="185"/>
      <c r="BIX10" s="185"/>
      <c r="BIY10" s="185"/>
      <c r="BIZ10" s="185"/>
      <c r="BJA10" s="185"/>
      <c r="BJB10" s="185"/>
      <c r="BJC10" s="185"/>
      <c r="BJD10" s="185"/>
      <c r="BJE10" s="185"/>
      <c r="BJF10" s="185"/>
      <c r="BJG10" s="185"/>
      <c r="BJH10" s="185"/>
      <c r="BJI10" s="185"/>
      <c r="BJJ10" s="185"/>
      <c r="BJK10" s="185"/>
      <c r="BJL10" s="185"/>
      <c r="BJM10" s="185"/>
      <c r="BJN10" s="73"/>
    </row>
    <row r="11" spans="1:1626" s="71" customFormat="1" ht="20.100000000000001" customHeight="1" x14ac:dyDescent="0.25">
      <c r="A11" s="146"/>
      <c r="B11" s="142"/>
      <c r="C11" s="209"/>
      <c r="D11" s="209"/>
      <c r="E11" s="209"/>
      <c r="F11" s="186" t="s">
        <v>77</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77</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t="s">
        <v>127</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127</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126</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125</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125</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124</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123</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122</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121</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121</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120</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120</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119</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119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118</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118</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117</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116</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116</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115</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115</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114</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114</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73"/>
    </row>
    <row r="12" spans="1:1626" ht="49.5" customHeight="1" thickBot="1" x14ac:dyDescent="0.3">
      <c r="B12" s="143"/>
      <c r="C12" s="210"/>
      <c r="D12" s="210"/>
      <c r="E12" s="210"/>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76</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17" t="s">
        <v>74</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187" t="s">
        <v>76</v>
      </c>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t="s">
        <v>74</v>
      </c>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t="s">
        <v>74</v>
      </c>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t="s">
        <v>76</v>
      </c>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t="s">
        <v>74</v>
      </c>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187" t="s">
        <v>76</v>
      </c>
      <c r="RS12" s="187"/>
      <c r="RT12" s="187"/>
      <c r="RU12" s="187"/>
      <c r="RV12" s="187"/>
      <c r="RW12" s="187"/>
      <c r="RX12" s="187"/>
      <c r="RY12" s="187"/>
      <c r="RZ12" s="187"/>
      <c r="SA12" s="187"/>
      <c r="SB12" s="187"/>
      <c r="SC12" s="187"/>
      <c r="SD12" s="187"/>
      <c r="SE12" s="187"/>
      <c r="SF12" s="187"/>
      <c r="SG12" s="187"/>
      <c r="SH12" s="187"/>
      <c r="SI12" s="187"/>
      <c r="SJ12" s="187"/>
      <c r="SK12" s="187"/>
      <c r="SL12" s="187"/>
      <c r="SM12" s="187"/>
      <c r="SN12" s="187"/>
      <c r="SO12" s="187"/>
      <c r="SP12" s="187"/>
      <c r="SQ12" s="187"/>
      <c r="SR12" s="187"/>
      <c r="SS12" s="187"/>
      <c r="ST12" s="187"/>
      <c r="SU12" s="187"/>
      <c r="SV12" s="187"/>
      <c r="SW12" s="187"/>
      <c r="SX12" s="187"/>
      <c r="SY12" s="187"/>
      <c r="SZ12" s="187"/>
      <c r="TA12" s="187"/>
      <c r="TB12" s="187"/>
      <c r="TC12" s="187"/>
      <c r="TD12" s="187"/>
      <c r="TE12" s="187"/>
      <c r="TF12" s="187"/>
      <c r="TG12" s="187"/>
      <c r="TH12" s="187"/>
      <c r="TI12" s="187"/>
      <c r="TJ12" s="187"/>
      <c r="TK12" s="187"/>
      <c r="TL12" s="187"/>
      <c r="TM12" s="187"/>
      <c r="TN12" s="187"/>
      <c r="TO12" s="187"/>
      <c r="TP12" s="187"/>
      <c r="TQ12" s="187"/>
      <c r="TR12" s="187"/>
      <c r="TS12" s="187"/>
      <c r="TT12" s="187"/>
      <c r="TU12" s="187"/>
      <c r="TV12" s="187"/>
      <c r="TW12" s="187"/>
      <c r="TX12" s="187"/>
      <c r="TY12" s="187"/>
      <c r="TZ12" s="187" t="s">
        <v>74</v>
      </c>
      <c r="UA12" s="187"/>
      <c r="UB12" s="187"/>
      <c r="UC12" s="187"/>
      <c r="UD12" s="187"/>
      <c r="UE12" s="187"/>
      <c r="UF12" s="187"/>
      <c r="UG12" s="187"/>
      <c r="UH12" s="187"/>
      <c r="UI12" s="187"/>
      <c r="UJ12" s="187"/>
      <c r="UK12" s="187"/>
      <c r="UL12" s="187"/>
      <c r="UM12" s="187"/>
      <c r="UN12" s="187"/>
      <c r="UO12" s="187"/>
      <c r="UP12" s="187"/>
      <c r="UQ12" s="187"/>
      <c r="UR12" s="187"/>
      <c r="US12" s="187"/>
      <c r="UT12" s="187"/>
      <c r="UU12" s="187"/>
      <c r="UV12" s="187"/>
      <c r="UW12" s="187"/>
      <c r="UX12" s="187"/>
      <c r="UY12" s="187"/>
      <c r="UZ12" s="187"/>
      <c r="VA12" s="187"/>
      <c r="VB12" s="187"/>
      <c r="VC12" s="187"/>
      <c r="VD12" s="187"/>
      <c r="VE12" s="187"/>
      <c r="VF12" s="187"/>
      <c r="VG12" s="187"/>
      <c r="VH12" s="187"/>
      <c r="VI12" s="187"/>
      <c r="VJ12" s="187"/>
      <c r="VK12" s="187"/>
      <c r="VL12" s="187"/>
      <c r="VM12" s="187"/>
      <c r="VN12" s="187"/>
      <c r="VO12" s="187"/>
      <c r="VP12" s="187"/>
      <c r="VQ12" s="187"/>
      <c r="VR12" s="187"/>
      <c r="VS12" s="187"/>
      <c r="VT12" s="187"/>
      <c r="VU12" s="187"/>
      <c r="VV12" s="187"/>
      <c r="VW12" s="187"/>
      <c r="VX12" s="187"/>
      <c r="VY12" s="187"/>
      <c r="VZ12" s="187"/>
      <c r="WA12" s="187"/>
      <c r="WB12" s="187"/>
      <c r="WC12" s="187"/>
      <c r="WD12" s="187"/>
      <c r="WE12" s="187"/>
      <c r="WF12" s="187"/>
      <c r="WG12" s="187"/>
      <c r="WH12" s="187" t="s">
        <v>76</v>
      </c>
      <c r="WI12" s="187"/>
      <c r="WJ12" s="187"/>
      <c r="WK12" s="187"/>
      <c r="WL12" s="187"/>
      <c r="WM12" s="187"/>
      <c r="WN12" s="187"/>
      <c r="WO12" s="187"/>
      <c r="WP12" s="187"/>
      <c r="WQ12" s="187"/>
      <c r="WR12" s="187"/>
      <c r="WS12" s="187"/>
      <c r="WT12" s="187"/>
      <c r="WU12" s="187"/>
      <c r="WV12" s="187"/>
      <c r="WW12" s="187"/>
      <c r="WX12" s="187"/>
      <c r="WY12" s="187"/>
      <c r="WZ12" s="187"/>
      <c r="XA12" s="187"/>
      <c r="XB12" s="187"/>
      <c r="XC12" s="187"/>
      <c r="XD12" s="187"/>
      <c r="XE12" s="187"/>
      <c r="XF12" s="187"/>
      <c r="XG12" s="187"/>
      <c r="XH12" s="187"/>
      <c r="XI12" s="187"/>
      <c r="XJ12" s="187"/>
      <c r="XK12" s="187"/>
      <c r="XL12" s="187"/>
      <c r="XM12" s="187"/>
      <c r="XN12" s="187"/>
      <c r="XO12" s="187"/>
      <c r="XP12" s="187"/>
      <c r="XQ12" s="187"/>
      <c r="XR12" s="187"/>
      <c r="XS12" s="187"/>
      <c r="XT12" s="187"/>
      <c r="XU12" s="187"/>
      <c r="XV12" s="187"/>
      <c r="XW12" s="187"/>
      <c r="XX12" s="187"/>
      <c r="XY12" s="187"/>
      <c r="XZ12" s="187"/>
      <c r="YA12" s="187"/>
      <c r="YB12" s="187"/>
      <c r="YC12" s="187"/>
      <c r="YD12" s="187"/>
      <c r="YE12" s="187"/>
      <c r="YF12" s="187"/>
      <c r="YG12" s="187"/>
      <c r="YH12" s="187"/>
      <c r="YI12" s="187"/>
      <c r="YJ12" s="187"/>
      <c r="YK12" s="187"/>
      <c r="YL12" s="187"/>
      <c r="YM12" s="187"/>
      <c r="YN12" s="187"/>
      <c r="YO12" s="187"/>
      <c r="YP12" s="187" t="s">
        <v>74</v>
      </c>
      <c r="YQ12" s="187"/>
      <c r="YR12" s="187"/>
      <c r="YS12" s="187"/>
      <c r="YT12" s="187"/>
      <c r="YU12" s="187"/>
      <c r="YV12" s="187"/>
      <c r="YW12" s="187"/>
      <c r="YX12" s="187"/>
      <c r="YY12" s="187"/>
      <c r="YZ12" s="187"/>
      <c r="ZA12" s="187"/>
      <c r="ZB12" s="187"/>
      <c r="ZC12" s="187"/>
      <c r="ZD12" s="187"/>
      <c r="ZE12" s="187"/>
      <c r="ZF12" s="187"/>
      <c r="ZG12" s="187"/>
      <c r="ZH12" s="187"/>
      <c r="ZI12" s="187"/>
      <c r="ZJ12" s="187"/>
      <c r="ZK12" s="187"/>
      <c r="ZL12" s="187"/>
      <c r="ZM12" s="187"/>
      <c r="ZN12" s="187"/>
      <c r="ZO12" s="187"/>
      <c r="ZP12" s="187"/>
      <c r="ZQ12" s="187"/>
      <c r="ZR12" s="187"/>
      <c r="ZS12" s="187"/>
      <c r="ZT12" s="187"/>
      <c r="ZU12" s="187"/>
      <c r="ZV12" s="187"/>
      <c r="ZW12" s="187"/>
      <c r="ZX12" s="187"/>
      <c r="ZY12" s="187"/>
      <c r="ZZ12" s="187"/>
      <c r="AAA12" s="187"/>
      <c r="AAB12" s="187"/>
      <c r="AAC12" s="187"/>
      <c r="AAD12" s="187"/>
      <c r="AAE12" s="187"/>
      <c r="AAF12" s="187"/>
      <c r="AAG12" s="187"/>
      <c r="AAH12" s="187"/>
      <c r="AAI12" s="187"/>
      <c r="AAJ12" s="187"/>
      <c r="AAK12" s="187"/>
      <c r="AAL12" s="187"/>
      <c r="AAM12" s="187"/>
      <c r="AAN12" s="187"/>
      <c r="AAO12" s="187"/>
      <c r="AAP12" s="187"/>
      <c r="AAQ12" s="187"/>
      <c r="AAR12" s="187"/>
      <c r="AAS12" s="187"/>
      <c r="AAT12" s="187"/>
      <c r="AAU12" s="187"/>
      <c r="AAV12" s="187"/>
      <c r="AAW12" s="187"/>
      <c r="AAX12" s="187" t="s">
        <v>74</v>
      </c>
      <c r="AAY12" s="187"/>
      <c r="AAZ12" s="187"/>
      <c r="ABA12" s="187"/>
      <c r="ABB12" s="187"/>
      <c r="ABC12" s="187"/>
      <c r="ABD12" s="187"/>
      <c r="ABE12" s="187"/>
      <c r="ABF12" s="187"/>
      <c r="ABG12" s="187"/>
      <c r="ABH12" s="187"/>
      <c r="ABI12" s="187"/>
      <c r="ABJ12" s="187"/>
      <c r="ABK12" s="187"/>
      <c r="ABL12" s="187"/>
      <c r="ABM12" s="187"/>
      <c r="ABN12" s="187"/>
      <c r="ABO12" s="187"/>
      <c r="ABP12" s="187"/>
      <c r="ABQ12" s="187"/>
      <c r="ABR12" s="187"/>
      <c r="ABS12" s="187"/>
      <c r="ABT12" s="187"/>
      <c r="ABU12" s="187"/>
      <c r="ABV12" s="187"/>
      <c r="ABW12" s="187"/>
      <c r="ABX12" s="187"/>
      <c r="ABY12" s="187"/>
      <c r="ABZ12" s="187"/>
      <c r="ACA12" s="187"/>
      <c r="ACB12" s="187"/>
      <c r="ACC12" s="187"/>
      <c r="ACD12" s="187"/>
      <c r="ACE12" s="187"/>
      <c r="ACF12" s="187"/>
      <c r="ACG12" s="187"/>
      <c r="ACH12" s="187"/>
      <c r="ACI12" s="187"/>
      <c r="ACJ12" s="187"/>
      <c r="ACK12" s="187"/>
      <c r="ACL12" s="187"/>
      <c r="ACM12" s="187"/>
      <c r="ACN12" s="187"/>
      <c r="ACO12" s="187"/>
      <c r="ACP12" s="187"/>
      <c r="ACQ12" s="187"/>
      <c r="ACR12" s="187"/>
      <c r="ACS12" s="187"/>
      <c r="ACT12" s="187"/>
      <c r="ACU12" s="187"/>
      <c r="ACV12" s="187"/>
      <c r="ACW12" s="187"/>
      <c r="ACX12" s="187"/>
      <c r="ACY12" s="187"/>
      <c r="ACZ12" s="187"/>
      <c r="ADA12" s="187"/>
      <c r="ADB12" s="187"/>
      <c r="ADC12" s="187"/>
      <c r="ADD12" s="187"/>
      <c r="ADE12" s="187"/>
      <c r="ADF12" s="187" t="s">
        <v>76</v>
      </c>
      <c r="ADG12" s="187"/>
      <c r="ADH12" s="187"/>
      <c r="ADI12" s="187"/>
      <c r="ADJ12" s="187"/>
      <c r="ADK12" s="187"/>
      <c r="ADL12" s="187"/>
      <c r="ADM12" s="187"/>
      <c r="ADN12" s="187"/>
      <c r="ADO12" s="187"/>
      <c r="ADP12" s="187"/>
      <c r="ADQ12" s="187"/>
      <c r="ADR12" s="187"/>
      <c r="ADS12" s="187"/>
      <c r="ADT12" s="187"/>
      <c r="ADU12" s="187"/>
      <c r="ADV12" s="187"/>
      <c r="ADW12" s="187"/>
      <c r="ADX12" s="187"/>
      <c r="ADY12" s="187"/>
      <c r="ADZ12" s="187"/>
      <c r="AEA12" s="187"/>
      <c r="AEB12" s="187"/>
      <c r="AEC12" s="187"/>
      <c r="AED12" s="187"/>
      <c r="AEE12" s="187"/>
      <c r="AEF12" s="187"/>
      <c r="AEG12" s="187"/>
      <c r="AEH12" s="187"/>
      <c r="AEI12" s="187"/>
      <c r="AEJ12" s="187"/>
      <c r="AEK12" s="187"/>
      <c r="AEL12" s="187"/>
      <c r="AEM12" s="187"/>
      <c r="AEN12" s="187"/>
      <c r="AEO12" s="187"/>
      <c r="AEP12" s="187"/>
      <c r="AEQ12" s="187"/>
      <c r="AER12" s="187"/>
      <c r="AES12" s="187"/>
      <c r="AET12" s="187"/>
      <c r="AEU12" s="187"/>
      <c r="AEV12" s="187"/>
      <c r="AEW12" s="187"/>
      <c r="AEX12" s="187"/>
      <c r="AEY12" s="187"/>
      <c r="AEZ12" s="187"/>
      <c r="AFA12" s="187"/>
      <c r="AFB12" s="187"/>
      <c r="AFC12" s="187"/>
      <c r="AFD12" s="187"/>
      <c r="AFE12" s="187"/>
      <c r="AFF12" s="187"/>
      <c r="AFG12" s="187"/>
      <c r="AFH12" s="187"/>
      <c r="AFI12" s="187"/>
      <c r="AFJ12" s="187"/>
      <c r="AFK12" s="187"/>
      <c r="AFL12" s="187"/>
      <c r="AFM12" s="187"/>
      <c r="AFN12" s="187" t="s">
        <v>74</v>
      </c>
      <c r="AFO12" s="187"/>
      <c r="AFP12" s="187"/>
      <c r="AFQ12" s="187"/>
      <c r="AFR12" s="187"/>
      <c r="AFS12" s="187"/>
      <c r="AFT12" s="187"/>
      <c r="AFU12" s="187"/>
      <c r="AFV12" s="187"/>
      <c r="AFW12" s="187"/>
      <c r="AFX12" s="187"/>
      <c r="AFY12" s="187"/>
      <c r="AFZ12" s="187"/>
      <c r="AGA12" s="187"/>
      <c r="AGB12" s="187"/>
      <c r="AGC12" s="187"/>
      <c r="AGD12" s="187"/>
      <c r="AGE12" s="187"/>
      <c r="AGF12" s="187"/>
      <c r="AGG12" s="187"/>
      <c r="AGH12" s="187"/>
      <c r="AGI12" s="187"/>
      <c r="AGJ12" s="187"/>
      <c r="AGK12" s="187"/>
      <c r="AGL12" s="187"/>
      <c r="AGM12" s="187"/>
      <c r="AGN12" s="187"/>
      <c r="AGO12" s="187"/>
      <c r="AGP12" s="187"/>
      <c r="AGQ12" s="187"/>
      <c r="AGR12" s="187"/>
      <c r="AGS12" s="187"/>
      <c r="AGT12" s="187"/>
      <c r="AGU12" s="187"/>
      <c r="AGV12" s="187"/>
      <c r="AGW12" s="187"/>
      <c r="AGX12" s="187"/>
      <c r="AGY12" s="187"/>
      <c r="AGZ12" s="187"/>
      <c r="AHA12" s="187"/>
      <c r="AHB12" s="187"/>
      <c r="AHC12" s="187"/>
      <c r="AHD12" s="187"/>
      <c r="AHE12" s="187"/>
      <c r="AHF12" s="187"/>
      <c r="AHG12" s="187"/>
      <c r="AHH12" s="187"/>
      <c r="AHI12" s="187"/>
      <c r="AHJ12" s="187"/>
      <c r="AHK12" s="187"/>
      <c r="AHL12" s="187"/>
      <c r="AHM12" s="187"/>
      <c r="AHN12" s="187"/>
      <c r="AHO12" s="187"/>
      <c r="AHP12" s="187"/>
      <c r="AHQ12" s="187"/>
      <c r="AHR12" s="187"/>
      <c r="AHS12" s="187"/>
      <c r="AHT12" s="187"/>
      <c r="AHU12" s="187"/>
      <c r="AHV12" s="187" t="s">
        <v>76</v>
      </c>
      <c r="AHW12" s="187"/>
      <c r="AHX12" s="187"/>
      <c r="AHY12" s="187"/>
      <c r="AHZ12" s="187"/>
      <c r="AIA12" s="187"/>
      <c r="AIB12" s="187"/>
      <c r="AIC12" s="187"/>
      <c r="AID12" s="187"/>
      <c r="AIE12" s="187"/>
      <c r="AIF12" s="187"/>
      <c r="AIG12" s="187"/>
      <c r="AIH12" s="187"/>
      <c r="AII12" s="187"/>
      <c r="AIJ12" s="187"/>
      <c r="AIK12" s="187"/>
      <c r="AIL12" s="187"/>
      <c r="AIM12" s="187"/>
      <c r="AIN12" s="187"/>
      <c r="AIO12" s="187"/>
      <c r="AIP12" s="187"/>
      <c r="AIQ12" s="187"/>
      <c r="AIR12" s="187"/>
      <c r="AIS12" s="187"/>
      <c r="AIT12" s="187"/>
      <c r="AIU12" s="187"/>
      <c r="AIV12" s="187"/>
      <c r="AIW12" s="187"/>
      <c r="AIX12" s="187"/>
      <c r="AIY12" s="187"/>
      <c r="AIZ12" s="187"/>
      <c r="AJA12" s="187"/>
      <c r="AJB12" s="187"/>
      <c r="AJC12" s="187"/>
      <c r="AJD12" s="187"/>
      <c r="AJE12" s="187"/>
      <c r="AJF12" s="187"/>
      <c r="AJG12" s="187"/>
      <c r="AJH12" s="187"/>
      <c r="AJI12" s="187"/>
      <c r="AJJ12" s="187"/>
      <c r="AJK12" s="187"/>
      <c r="AJL12" s="187"/>
      <c r="AJM12" s="187"/>
      <c r="AJN12" s="187"/>
      <c r="AJO12" s="187"/>
      <c r="AJP12" s="187"/>
      <c r="AJQ12" s="187"/>
      <c r="AJR12" s="187"/>
      <c r="AJS12" s="187"/>
      <c r="AJT12" s="187"/>
      <c r="AJU12" s="187"/>
      <c r="AJV12" s="187"/>
      <c r="AJW12" s="187"/>
      <c r="AJX12" s="187"/>
      <c r="AJY12" s="187"/>
      <c r="AJZ12" s="187"/>
      <c r="AKA12" s="187"/>
      <c r="AKB12" s="187"/>
      <c r="AKC12" s="187"/>
      <c r="AKD12" s="187" t="s">
        <v>74</v>
      </c>
      <c r="AKE12" s="187"/>
      <c r="AKF12" s="187"/>
      <c r="AKG12" s="187"/>
      <c r="AKH12" s="187"/>
      <c r="AKI12" s="187"/>
      <c r="AKJ12" s="187"/>
      <c r="AKK12" s="187"/>
      <c r="AKL12" s="187"/>
      <c r="AKM12" s="187"/>
      <c r="AKN12" s="187"/>
      <c r="AKO12" s="187"/>
      <c r="AKP12" s="187"/>
      <c r="AKQ12" s="187"/>
      <c r="AKR12" s="187"/>
      <c r="AKS12" s="187"/>
      <c r="AKT12" s="187"/>
      <c r="AKU12" s="187"/>
      <c r="AKV12" s="187"/>
      <c r="AKW12" s="187"/>
      <c r="AKX12" s="187"/>
      <c r="AKY12" s="187"/>
      <c r="AKZ12" s="187"/>
      <c r="ALA12" s="187"/>
      <c r="ALB12" s="187"/>
      <c r="ALC12" s="187"/>
      <c r="ALD12" s="187"/>
      <c r="ALE12" s="187"/>
      <c r="ALF12" s="187"/>
      <c r="ALG12" s="187"/>
      <c r="ALH12" s="187"/>
      <c r="ALI12" s="187"/>
      <c r="ALJ12" s="187"/>
      <c r="ALK12" s="187"/>
      <c r="ALL12" s="187"/>
      <c r="ALM12" s="187"/>
      <c r="ALN12" s="187"/>
      <c r="ALO12" s="187"/>
      <c r="ALP12" s="187"/>
      <c r="ALQ12" s="187"/>
      <c r="ALR12" s="187"/>
      <c r="ALS12" s="187"/>
      <c r="ALT12" s="187"/>
      <c r="ALU12" s="187"/>
      <c r="ALV12" s="187"/>
      <c r="ALW12" s="187"/>
      <c r="ALX12" s="187"/>
      <c r="ALY12" s="187"/>
      <c r="ALZ12" s="187"/>
      <c r="AMA12" s="187"/>
      <c r="AMB12" s="187"/>
      <c r="AMC12" s="187"/>
      <c r="AMD12" s="187"/>
      <c r="AME12" s="187"/>
      <c r="AMF12" s="187"/>
      <c r="AMG12" s="187"/>
      <c r="AMH12" s="187"/>
      <c r="AMI12" s="187"/>
      <c r="AMJ12" s="187"/>
      <c r="AMK12" s="187"/>
      <c r="AML12" s="187" t="s">
        <v>76</v>
      </c>
      <c r="AMM12" s="187"/>
      <c r="AMN12" s="187"/>
      <c r="AMO12" s="187"/>
      <c r="AMP12" s="187"/>
      <c r="AMQ12" s="187"/>
      <c r="AMR12" s="187"/>
      <c r="AMS12" s="187"/>
      <c r="AMT12" s="187"/>
      <c r="AMU12" s="187"/>
      <c r="AMV12" s="187"/>
      <c r="AMW12" s="187"/>
      <c r="AMX12" s="187"/>
      <c r="AMY12" s="187"/>
      <c r="AMZ12" s="187"/>
      <c r="ANA12" s="187"/>
      <c r="ANB12" s="187"/>
      <c r="ANC12" s="187"/>
      <c r="AND12" s="187"/>
      <c r="ANE12" s="187"/>
      <c r="ANF12" s="187"/>
      <c r="ANG12" s="187"/>
      <c r="ANH12" s="187"/>
      <c r="ANI12" s="187"/>
      <c r="ANJ12" s="187"/>
      <c r="ANK12" s="187"/>
      <c r="ANL12" s="187"/>
      <c r="ANM12" s="187"/>
      <c r="ANN12" s="187"/>
      <c r="ANO12" s="187"/>
      <c r="ANP12" s="187"/>
      <c r="ANQ12" s="187"/>
      <c r="ANR12" s="187"/>
      <c r="ANS12" s="187"/>
      <c r="ANT12" s="187"/>
      <c r="ANU12" s="187"/>
      <c r="ANV12" s="187"/>
      <c r="ANW12" s="187"/>
      <c r="ANX12" s="187"/>
      <c r="ANY12" s="187"/>
      <c r="ANZ12" s="187"/>
      <c r="AOA12" s="187"/>
      <c r="AOB12" s="187"/>
      <c r="AOC12" s="187"/>
      <c r="AOD12" s="187"/>
      <c r="AOE12" s="187"/>
      <c r="AOF12" s="187"/>
      <c r="AOG12" s="187"/>
      <c r="AOH12" s="187"/>
      <c r="AOI12" s="187"/>
      <c r="AOJ12" s="187"/>
      <c r="AOK12" s="187"/>
      <c r="AOL12" s="187"/>
      <c r="AOM12" s="187"/>
      <c r="AON12" s="187"/>
      <c r="AOO12" s="187"/>
      <c r="AOP12" s="187"/>
      <c r="AOQ12" s="187"/>
      <c r="AOR12" s="187"/>
      <c r="AOS12" s="187"/>
      <c r="AOT12" s="187" t="s">
        <v>74</v>
      </c>
      <c r="AOU12" s="187"/>
      <c r="AOV12" s="187"/>
      <c r="AOW12" s="187"/>
      <c r="AOX12" s="187"/>
      <c r="AOY12" s="187"/>
      <c r="AOZ12" s="187"/>
      <c r="APA12" s="187"/>
      <c r="APB12" s="187"/>
      <c r="APC12" s="187"/>
      <c r="APD12" s="187"/>
      <c r="APE12" s="187"/>
      <c r="APF12" s="187"/>
      <c r="APG12" s="187"/>
      <c r="APH12" s="187"/>
      <c r="API12" s="187"/>
      <c r="APJ12" s="187"/>
      <c r="APK12" s="187"/>
      <c r="APL12" s="187"/>
      <c r="APM12" s="187"/>
      <c r="APN12" s="187"/>
      <c r="APO12" s="187"/>
      <c r="APP12" s="187"/>
      <c r="APQ12" s="187"/>
      <c r="APR12" s="187"/>
      <c r="APS12" s="187"/>
      <c r="APT12" s="187"/>
      <c r="APU12" s="187"/>
      <c r="APV12" s="187"/>
      <c r="APW12" s="187"/>
      <c r="APX12" s="187"/>
      <c r="APY12" s="187"/>
      <c r="APZ12" s="187"/>
      <c r="AQA12" s="187"/>
      <c r="AQB12" s="187"/>
      <c r="AQC12" s="187"/>
      <c r="AQD12" s="187"/>
      <c r="AQE12" s="187"/>
      <c r="AQF12" s="187"/>
      <c r="AQG12" s="187"/>
      <c r="AQH12" s="187"/>
      <c r="AQI12" s="187"/>
      <c r="AQJ12" s="187"/>
      <c r="AQK12" s="187"/>
      <c r="AQL12" s="187"/>
      <c r="AQM12" s="187"/>
      <c r="AQN12" s="187"/>
      <c r="AQO12" s="187"/>
      <c r="AQP12" s="187"/>
      <c r="AQQ12" s="187"/>
      <c r="AQR12" s="187"/>
      <c r="AQS12" s="187"/>
      <c r="AQT12" s="187"/>
      <c r="AQU12" s="187"/>
      <c r="AQV12" s="187"/>
      <c r="AQW12" s="187"/>
      <c r="AQX12" s="187"/>
      <c r="AQY12" s="187"/>
      <c r="AQZ12" s="187"/>
      <c r="ARA12" s="187"/>
      <c r="ARB12" s="187" t="s">
        <v>76</v>
      </c>
      <c r="ARC12" s="187"/>
      <c r="ARD12" s="187"/>
      <c r="ARE12" s="187"/>
      <c r="ARF12" s="187"/>
      <c r="ARG12" s="187"/>
      <c r="ARH12" s="187"/>
      <c r="ARI12" s="187"/>
      <c r="ARJ12" s="187"/>
      <c r="ARK12" s="187"/>
      <c r="ARL12" s="187"/>
      <c r="ARM12" s="187"/>
      <c r="ARN12" s="187"/>
      <c r="ARO12" s="187"/>
      <c r="ARP12" s="187"/>
      <c r="ARQ12" s="187"/>
      <c r="ARR12" s="187"/>
      <c r="ARS12" s="187"/>
      <c r="ART12" s="187"/>
      <c r="ARU12" s="187"/>
      <c r="ARV12" s="187"/>
      <c r="ARW12" s="187"/>
      <c r="ARX12" s="187"/>
      <c r="ARY12" s="187"/>
      <c r="ARZ12" s="187"/>
      <c r="ASA12" s="187"/>
      <c r="ASB12" s="187"/>
      <c r="ASC12" s="187"/>
      <c r="ASD12" s="187"/>
      <c r="ASE12" s="187"/>
      <c r="ASF12" s="187"/>
      <c r="ASG12" s="187"/>
      <c r="ASH12" s="187"/>
      <c r="ASI12" s="187"/>
      <c r="ASJ12" s="187"/>
      <c r="ASK12" s="187"/>
      <c r="ASL12" s="187"/>
      <c r="ASM12" s="187"/>
      <c r="ASN12" s="187"/>
      <c r="ASO12" s="187"/>
      <c r="ASP12" s="187"/>
      <c r="ASQ12" s="187"/>
      <c r="ASR12" s="187"/>
      <c r="ASS12" s="187"/>
      <c r="AST12" s="187"/>
      <c r="ASU12" s="187"/>
      <c r="ASV12" s="187"/>
      <c r="ASW12" s="187"/>
      <c r="ASX12" s="187"/>
      <c r="ASY12" s="187"/>
      <c r="ASZ12" s="187"/>
      <c r="ATA12" s="187"/>
      <c r="ATB12" s="187"/>
      <c r="ATC12" s="187"/>
      <c r="ATD12" s="187"/>
      <c r="ATE12" s="187"/>
      <c r="ATF12" s="187"/>
      <c r="ATG12" s="187"/>
      <c r="ATH12" s="187"/>
      <c r="ATI12" s="187"/>
      <c r="ATJ12" s="187" t="s">
        <v>74</v>
      </c>
      <c r="ATK12" s="187"/>
      <c r="ATL12" s="187"/>
      <c r="ATM12" s="187"/>
      <c r="ATN12" s="187"/>
      <c r="ATO12" s="187"/>
      <c r="ATP12" s="187"/>
      <c r="ATQ12" s="187"/>
      <c r="ATR12" s="187"/>
      <c r="ATS12" s="187"/>
      <c r="ATT12" s="187"/>
      <c r="ATU12" s="187"/>
      <c r="ATV12" s="187"/>
      <c r="ATW12" s="187"/>
      <c r="ATX12" s="187"/>
      <c r="ATY12" s="187"/>
      <c r="ATZ12" s="187"/>
      <c r="AUA12" s="187"/>
      <c r="AUB12" s="187"/>
      <c r="AUC12" s="187"/>
      <c r="AUD12" s="187"/>
      <c r="AUE12" s="187"/>
      <c r="AUF12" s="187"/>
      <c r="AUG12" s="187"/>
      <c r="AUH12" s="187"/>
      <c r="AUI12" s="187"/>
      <c r="AUJ12" s="187"/>
      <c r="AUK12" s="187"/>
      <c r="AUL12" s="187"/>
      <c r="AUM12" s="187"/>
      <c r="AUN12" s="187"/>
      <c r="AUO12" s="187"/>
      <c r="AUP12" s="187"/>
      <c r="AUQ12" s="187"/>
      <c r="AUR12" s="187"/>
      <c r="AUS12" s="187"/>
      <c r="AUT12" s="187"/>
      <c r="AUU12" s="187"/>
      <c r="AUV12" s="187"/>
      <c r="AUW12" s="187"/>
      <c r="AUX12" s="187"/>
      <c r="AUY12" s="187"/>
      <c r="AUZ12" s="187"/>
      <c r="AVA12" s="187"/>
      <c r="AVB12" s="187"/>
      <c r="AVC12" s="187"/>
      <c r="AVD12" s="187"/>
      <c r="AVE12" s="187"/>
      <c r="AVF12" s="187"/>
      <c r="AVG12" s="187"/>
      <c r="AVH12" s="187"/>
      <c r="AVI12" s="187"/>
      <c r="AVJ12" s="187"/>
      <c r="AVK12" s="187"/>
      <c r="AVL12" s="187"/>
      <c r="AVM12" s="187"/>
      <c r="AVN12" s="187"/>
      <c r="AVO12" s="187"/>
      <c r="AVP12" s="187"/>
      <c r="AVQ12" s="187"/>
      <c r="AVR12" s="187" t="s">
        <v>74</v>
      </c>
      <c r="AVS12" s="187"/>
      <c r="AVT12" s="187"/>
      <c r="AVU12" s="187"/>
      <c r="AVV12" s="187"/>
      <c r="AVW12" s="187"/>
      <c r="AVX12" s="187"/>
      <c r="AVY12" s="187"/>
      <c r="AVZ12" s="187"/>
      <c r="AWA12" s="187"/>
      <c r="AWB12" s="187"/>
      <c r="AWC12" s="187"/>
      <c r="AWD12" s="187"/>
      <c r="AWE12" s="187"/>
      <c r="AWF12" s="187"/>
      <c r="AWG12" s="187"/>
      <c r="AWH12" s="187"/>
      <c r="AWI12" s="187"/>
      <c r="AWJ12" s="187"/>
      <c r="AWK12" s="187"/>
      <c r="AWL12" s="187"/>
      <c r="AWM12" s="187"/>
      <c r="AWN12" s="187"/>
      <c r="AWO12" s="187"/>
      <c r="AWP12" s="187"/>
      <c r="AWQ12" s="187"/>
      <c r="AWR12" s="187"/>
      <c r="AWS12" s="187"/>
      <c r="AWT12" s="187"/>
      <c r="AWU12" s="187"/>
      <c r="AWV12" s="187"/>
      <c r="AWW12" s="187"/>
      <c r="AWX12" s="187"/>
      <c r="AWY12" s="187"/>
      <c r="AWZ12" s="187"/>
      <c r="AXA12" s="187"/>
      <c r="AXB12" s="187"/>
      <c r="AXC12" s="187"/>
      <c r="AXD12" s="187"/>
      <c r="AXE12" s="187"/>
      <c r="AXF12" s="187"/>
      <c r="AXG12" s="187"/>
      <c r="AXH12" s="187"/>
      <c r="AXI12" s="187"/>
      <c r="AXJ12" s="187"/>
      <c r="AXK12" s="187"/>
      <c r="AXL12" s="187"/>
      <c r="AXM12" s="187"/>
      <c r="AXN12" s="187"/>
      <c r="AXO12" s="187"/>
      <c r="AXP12" s="187"/>
      <c r="AXQ12" s="187"/>
      <c r="AXR12" s="187"/>
      <c r="AXS12" s="187"/>
      <c r="AXT12" s="187"/>
      <c r="AXU12" s="187"/>
      <c r="AXV12" s="187"/>
      <c r="AXW12" s="187"/>
      <c r="AXX12" s="187"/>
      <c r="AXY12" s="187"/>
      <c r="AXZ12" s="187" t="s">
        <v>76</v>
      </c>
      <c r="AYA12" s="187"/>
      <c r="AYB12" s="187"/>
      <c r="AYC12" s="187"/>
      <c r="AYD12" s="187"/>
      <c r="AYE12" s="187"/>
      <c r="AYF12" s="187"/>
      <c r="AYG12" s="187"/>
      <c r="AYH12" s="187"/>
      <c r="AYI12" s="187"/>
      <c r="AYJ12" s="187"/>
      <c r="AYK12" s="187"/>
      <c r="AYL12" s="187"/>
      <c r="AYM12" s="187"/>
      <c r="AYN12" s="187"/>
      <c r="AYO12" s="187"/>
      <c r="AYP12" s="187"/>
      <c r="AYQ12" s="187"/>
      <c r="AYR12" s="187"/>
      <c r="AYS12" s="187"/>
      <c r="AYT12" s="187"/>
      <c r="AYU12" s="187"/>
      <c r="AYV12" s="187"/>
      <c r="AYW12" s="187"/>
      <c r="AYX12" s="187"/>
      <c r="AYY12" s="187"/>
      <c r="AYZ12" s="187"/>
      <c r="AZA12" s="187"/>
      <c r="AZB12" s="187"/>
      <c r="AZC12" s="187"/>
      <c r="AZD12" s="187"/>
      <c r="AZE12" s="187"/>
      <c r="AZF12" s="187"/>
      <c r="AZG12" s="187"/>
      <c r="AZH12" s="187"/>
      <c r="AZI12" s="187"/>
      <c r="AZJ12" s="187"/>
      <c r="AZK12" s="187"/>
      <c r="AZL12" s="187"/>
      <c r="AZM12" s="187"/>
      <c r="AZN12" s="187"/>
      <c r="AZO12" s="187"/>
      <c r="AZP12" s="187"/>
      <c r="AZQ12" s="187"/>
      <c r="AZR12" s="187"/>
      <c r="AZS12" s="187"/>
      <c r="AZT12" s="187"/>
      <c r="AZU12" s="187"/>
      <c r="AZV12" s="187"/>
      <c r="AZW12" s="187"/>
      <c r="AZX12" s="187"/>
      <c r="AZY12" s="187"/>
      <c r="AZZ12" s="187"/>
      <c r="BAA12" s="187"/>
      <c r="BAB12" s="187"/>
      <c r="BAC12" s="187"/>
      <c r="BAD12" s="187"/>
      <c r="BAE12" s="187"/>
      <c r="BAF12" s="187"/>
      <c r="BAG12" s="187"/>
      <c r="BAH12" s="187" t="s">
        <v>74</v>
      </c>
      <c r="BAI12" s="187"/>
      <c r="BAJ12" s="187"/>
      <c r="BAK12" s="187"/>
      <c r="BAL12" s="187"/>
      <c r="BAM12" s="187"/>
      <c r="BAN12" s="187"/>
      <c r="BAO12" s="187"/>
      <c r="BAP12" s="187"/>
      <c r="BAQ12" s="187"/>
      <c r="BAR12" s="187"/>
      <c r="BAS12" s="187"/>
      <c r="BAT12" s="187"/>
      <c r="BAU12" s="187"/>
      <c r="BAV12" s="187"/>
      <c r="BAW12" s="187"/>
      <c r="BAX12" s="187"/>
      <c r="BAY12" s="187"/>
      <c r="BAZ12" s="187"/>
      <c r="BBA12" s="187"/>
      <c r="BBB12" s="187"/>
      <c r="BBC12" s="187"/>
      <c r="BBD12" s="187"/>
      <c r="BBE12" s="187"/>
      <c r="BBF12" s="187"/>
      <c r="BBG12" s="187"/>
      <c r="BBH12" s="187"/>
      <c r="BBI12" s="187"/>
      <c r="BBJ12" s="187"/>
      <c r="BBK12" s="187"/>
      <c r="BBL12" s="187"/>
      <c r="BBM12" s="187"/>
      <c r="BBN12" s="187"/>
      <c r="BBO12" s="187"/>
      <c r="BBP12" s="187"/>
      <c r="BBQ12" s="187"/>
      <c r="BBR12" s="187"/>
      <c r="BBS12" s="187"/>
      <c r="BBT12" s="187"/>
      <c r="BBU12" s="187"/>
      <c r="BBV12" s="187"/>
      <c r="BBW12" s="187"/>
      <c r="BBX12" s="187"/>
      <c r="BBY12" s="187"/>
      <c r="BBZ12" s="187"/>
      <c r="BCA12" s="187"/>
      <c r="BCB12" s="187"/>
      <c r="BCC12" s="187"/>
      <c r="BCD12" s="187"/>
      <c r="BCE12" s="187"/>
      <c r="BCF12" s="187"/>
      <c r="BCG12" s="187"/>
      <c r="BCH12" s="187"/>
      <c r="BCI12" s="187"/>
      <c r="BCJ12" s="187"/>
      <c r="BCK12" s="187"/>
      <c r="BCL12" s="187"/>
      <c r="BCM12" s="187"/>
      <c r="BCN12" s="187"/>
      <c r="BCO12" s="187"/>
      <c r="BCP12" s="187" t="s">
        <v>76</v>
      </c>
      <c r="BCQ12" s="187"/>
      <c r="BCR12" s="187"/>
      <c r="BCS12" s="187"/>
      <c r="BCT12" s="187"/>
      <c r="BCU12" s="187"/>
      <c r="BCV12" s="187"/>
      <c r="BCW12" s="187"/>
      <c r="BCX12" s="187"/>
      <c r="BCY12" s="187"/>
      <c r="BCZ12" s="187"/>
      <c r="BDA12" s="187"/>
      <c r="BDB12" s="187"/>
      <c r="BDC12" s="187"/>
      <c r="BDD12" s="187"/>
      <c r="BDE12" s="187"/>
      <c r="BDF12" s="187"/>
      <c r="BDG12" s="187"/>
      <c r="BDH12" s="187"/>
      <c r="BDI12" s="187"/>
      <c r="BDJ12" s="187"/>
      <c r="BDK12" s="187"/>
      <c r="BDL12" s="187"/>
      <c r="BDM12" s="187"/>
      <c r="BDN12" s="187"/>
      <c r="BDO12" s="187"/>
      <c r="BDP12" s="187"/>
      <c r="BDQ12" s="187"/>
      <c r="BDR12" s="187"/>
      <c r="BDS12" s="187"/>
      <c r="BDT12" s="187"/>
      <c r="BDU12" s="187"/>
      <c r="BDV12" s="187"/>
      <c r="BDW12" s="187"/>
      <c r="BDX12" s="187"/>
      <c r="BDY12" s="187"/>
      <c r="BDZ12" s="187"/>
      <c r="BEA12" s="187"/>
      <c r="BEB12" s="187"/>
      <c r="BEC12" s="187"/>
      <c r="BED12" s="187"/>
      <c r="BEE12" s="187"/>
      <c r="BEF12" s="187"/>
      <c r="BEG12" s="187"/>
      <c r="BEH12" s="187"/>
      <c r="BEI12" s="187"/>
      <c r="BEJ12" s="187"/>
      <c r="BEK12" s="187"/>
      <c r="BEL12" s="187"/>
      <c r="BEM12" s="187"/>
      <c r="BEN12" s="187"/>
      <c r="BEO12" s="187"/>
      <c r="BEP12" s="187"/>
      <c r="BEQ12" s="187"/>
      <c r="BER12" s="187"/>
      <c r="BES12" s="187"/>
      <c r="BET12" s="187"/>
      <c r="BEU12" s="187"/>
      <c r="BEV12" s="187"/>
      <c r="BEW12" s="187"/>
      <c r="BEX12" s="187" t="s">
        <v>74</v>
      </c>
      <c r="BEY12" s="187"/>
      <c r="BEZ12" s="187"/>
      <c r="BFA12" s="187"/>
      <c r="BFB12" s="187"/>
      <c r="BFC12" s="187"/>
      <c r="BFD12" s="187"/>
      <c r="BFE12" s="187"/>
      <c r="BFF12" s="187"/>
      <c r="BFG12" s="187"/>
      <c r="BFH12" s="187"/>
      <c r="BFI12" s="187"/>
      <c r="BFJ12" s="187"/>
      <c r="BFK12" s="187"/>
      <c r="BFL12" s="187"/>
      <c r="BFM12" s="187"/>
      <c r="BFN12" s="187"/>
      <c r="BFO12" s="187"/>
      <c r="BFP12" s="187"/>
      <c r="BFQ12" s="187"/>
      <c r="BFR12" s="187"/>
      <c r="BFS12" s="187"/>
      <c r="BFT12" s="187"/>
      <c r="BFU12" s="187"/>
      <c r="BFV12" s="187"/>
      <c r="BFW12" s="187"/>
      <c r="BFX12" s="187"/>
      <c r="BFY12" s="187"/>
      <c r="BFZ12" s="187"/>
      <c r="BGA12" s="187"/>
      <c r="BGB12" s="187"/>
      <c r="BGC12" s="187"/>
      <c r="BGD12" s="187"/>
      <c r="BGE12" s="187"/>
      <c r="BGF12" s="187"/>
      <c r="BGG12" s="187"/>
      <c r="BGH12" s="187"/>
      <c r="BGI12" s="187"/>
      <c r="BGJ12" s="187"/>
      <c r="BGK12" s="187"/>
      <c r="BGL12" s="187"/>
      <c r="BGM12" s="187"/>
      <c r="BGN12" s="187"/>
      <c r="BGO12" s="187"/>
      <c r="BGP12" s="187"/>
      <c r="BGQ12" s="187"/>
      <c r="BGR12" s="187"/>
      <c r="BGS12" s="187"/>
      <c r="BGT12" s="187"/>
      <c r="BGU12" s="187"/>
      <c r="BGV12" s="187"/>
      <c r="BGW12" s="187"/>
      <c r="BGX12" s="187"/>
      <c r="BGY12" s="187"/>
      <c r="BGZ12" s="187"/>
      <c r="BHA12" s="187"/>
      <c r="BHB12" s="187"/>
      <c r="BHC12" s="187"/>
      <c r="BHD12" s="187"/>
      <c r="BHE12" s="187"/>
      <c r="BHF12" s="187" t="s">
        <v>76</v>
      </c>
      <c r="BHG12" s="187"/>
      <c r="BHH12" s="187"/>
      <c r="BHI12" s="187"/>
      <c r="BHJ12" s="187"/>
      <c r="BHK12" s="187"/>
      <c r="BHL12" s="187"/>
      <c r="BHM12" s="187"/>
      <c r="BHN12" s="187"/>
      <c r="BHO12" s="187"/>
      <c r="BHP12" s="187"/>
      <c r="BHQ12" s="187"/>
      <c r="BHR12" s="187"/>
      <c r="BHS12" s="187"/>
      <c r="BHT12" s="187"/>
      <c r="BHU12" s="187"/>
      <c r="BHV12" s="187"/>
      <c r="BHW12" s="187"/>
      <c r="BHX12" s="187"/>
      <c r="BHY12" s="187"/>
      <c r="BHZ12" s="187"/>
      <c r="BIA12" s="187"/>
      <c r="BIB12" s="187"/>
      <c r="BIC12" s="187"/>
      <c r="BID12" s="187"/>
      <c r="BIE12" s="187"/>
      <c r="BIF12" s="187"/>
      <c r="BIG12" s="187"/>
      <c r="BIH12" s="187"/>
      <c r="BII12" s="187"/>
      <c r="BIJ12" s="187"/>
      <c r="BIK12" s="187"/>
      <c r="BIL12" s="187"/>
      <c r="BIM12" s="187"/>
      <c r="BIN12" s="187"/>
      <c r="BIO12" s="187"/>
      <c r="BIP12" s="187"/>
      <c r="BIQ12" s="187"/>
      <c r="BIR12" s="187"/>
      <c r="BIS12" s="187"/>
      <c r="BIT12" s="187"/>
      <c r="BIU12" s="187"/>
      <c r="BIV12" s="187"/>
      <c r="BIW12" s="187"/>
      <c r="BIX12" s="187"/>
      <c r="BIY12" s="187"/>
      <c r="BIZ12" s="187"/>
      <c r="BJA12" s="187"/>
      <c r="BJB12" s="187"/>
      <c r="BJC12" s="187"/>
      <c r="BJD12" s="187"/>
      <c r="BJE12" s="187"/>
      <c r="BJF12" s="187"/>
      <c r="BJG12" s="187"/>
      <c r="BJH12" s="187"/>
      <c r="BJI12" s="187"/>
      <c r="BJJ12" s="187"/>
      <c r="BJK12" s="187"/>
      <c r="BJL12" s="187"/>
      <c r="BJM12" s="187"/>
      <c r="BJN12" s="73"/>
    </row>
    <row r="13" spans="1:1626" ht="42.75" customHeight="1" thickBot="1" x14ac:dyDescent="0.3">
      <c r="B13" s="51"/>
      <c r="C13" s="214" t="s">
        <v>6</v>
      </c>
      <c r="D13" s="117"/>
      <c r="E13" s="212" t="s">
        <v>34</v>
      </c>
      <c r="F13" s="188" t="s">
        <v>7</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24</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15</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36</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38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92</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93</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94</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188" t="s">
        <v>95</v>
      </c>
      <c r="RS13" s="189"/>
      <c r="RT13" s="189"/>
      <c r="RU13" s="189"/>
      <c r="RV13" s="189"/>
      <c r="RW13" s="189"/>
      <c r="RX13" s="189"/>
      <c r="RY13" s="189"/>
      <c r="RZ13" s="189"/>
      <c r="SA13" s="189"/>
      <c r="SB13" s="189"/>
      <c r="SC13" s="189"/>
      <c r="SD13" s="189"/>
      <c r="SE13" s="189"/>
      <c r="SF13" s="189"/>
      <c r="SG13" s="189"/>
      <c r="SH13" s="189"/>
      <c r="SI13" s="189"/>
      <c r="SJ13" s="189"/>
      <c r="SK13" s="189"/>
      <c r="SL13" s="189"/>
      <c r="SM13" s="189"/>
      <c r="SN13" s="189"/>
      <c r="SO13" s="189"/>
      <c r="SP13" s="189"/>
      <c r="SQ13" s="189"/>
      <c r="SR13" s="189"/>
      <c r="SS13" s="189"/>
      <c r="ST13" s="189"/>
      <c r="SU13" s="189"/>
      <c r="SV13" s="189"/>
      <c r="SW13" s="189"/>
      <c r="SX13" s="189"/>
      <c r="SY13" s="189"/>
      <c r="SZ13" s="189"/>
      <c r="TA13" s="189"/>
      <c r="TB13" s="189"/>
      <c r="TC13" s="189"/>
      <c r="TD13" s="189"/>
      <c r="TE13" s="189"/>
      <c r="TF13" s="189"/>
      <c r="TG13" s="189"/>
      <c r="TH13" s="189"/>
      <c r="TI13" s="189"/>
      <c r="TJ13" s="189"/>
      <c r="TK13" s="189"/>
      <c r="TL13" s="189"/>
      <c r="TM13" s="189"/>
      <c r="TN13" s="189"/>
      <c r="TO13" s="189"/>
      <c r="TP13" s="189"/>
      <c r="TQ13" s="189"/>
      <c r="TR13" s="189"/>
      <c r="TS13" s="189"/>
      <c r="TT13" s="189"/>
      <c r="TU13" s="189"/>
      <c r="TV13" s="189"/>
      <c r="TW13" s="189"/>
      <c r="TX13" s="189"/>
      <c r="TY13" s="190"/>
      <c r="TZ13" s="188" t="s">
        <v>96</v>
      </c>
      <c r="UA13" s="189"/>
      <c r="UB13" s="189"/>
      <c r="UC13" s="189"/>
      <c r="UD13" s="189"/>
      <c r="UE13" s="189"/>
      <c r="UF13" s="189"/>
      <c r="UG13" s="189"/>
      <c r="UH13" s="189"/>
      <c r="UI13" s="189"/>
      <c r="UJ13" s="189"/>
      <c r="UK13" s="189"/>
      <c r="UL13" s="189"/>
      <c r="UM13" s="189"/>
      <c r="UN13" s="189"/>
      <c r="UO13" s="189"/>
      <c r="UP13" s="189"/>
      <c r="UQ13" s="189"/>
      <c r="UR13" s="189"/>
      <c r="US13" s="189"/>
      <c r="UT13" s="189"/>
      <c r="UU13" s="189"/>
      <c r="UV13" s="189"/>
      <c r="UW13" s="189"/>
      <c r="UX13" s="189"/>
      <c r="UY13" s="189"/>
      <c r="UZ13" s="189"/>
      <c r="VA13" s="189"/>
      <c r="VB13" s="189"/>
      <c r="VC13" s="189"/>
      <c r="VD13" s="189"/>
      <c r="VE13" s="189"/>
      <c r="VF13" s="189"/>
      <c r="VG13" s="189"/>
      <c r="VH13" s="189"/>
      <c r="VI13" s="189"/>
      <c r="VJ13" s="189"/>
      <c r="VK13" s="189"/>
      <c r="VL13" s="189"/>
      <c r="VM13" s="189"/>
      <c r="VN13" s="189"/>
      <c r="VO13" s="189"/>
      <c r="VP13" s="189"/>
      <c r="VQ13" s="189"/>
      <c r="VR13" s="189"/>
      <c r="VS13" s="189"/>
      <c r="VT13" s="189"/>
      <c r="VU13" s="189"/>
      <c r="VV13" s="189"/>
      <c r="VW13" s="189"/>
      <c r="VX13" s="189"/>
      <c r="VY13" s="189"/>
      <c r="VZ13" s="189"/>
      <c r="WA13" s="189"/>
      <c r="WB13" s="189"/>
      <c r="WC13" s="189"/>
      <c r="WD13" s="189"/>
      <c r="WE13" s="189"/>
      <c r="WF13" s="189"/>
      <c r="WG13" s="190"/>
      <c r="WH13" s="188" t="s">
        <v>97</v>
      </c>
      <c r="WI13" s="189"/>
      <c r="WJ13" s="189"/>
      <c r="WK13" s="189"/>
      <c r="WL13" s="189"/>
      <c r="WM13" s="189"/>
      <c r="WN13" s="189"/>
      <c r="WO13" s="189"/>
      <c r="WP13" s="189"/>
      <c r="WQ13" s="189"/>
      <c r="WR13" s="189"/>
      <c r="WS13" s="189"/>
      <c r="WT13" s="189"/>
      <c r="WU13" s="189"/>
      <c r="WV13" s="189"/>
      <c r="WW13" s="189"/>
      <c r="WX13" s="189"/>
      <c r="WY13" s="189"/>
      <c r="WZ13" s="189"/>
      <c r="XA13" s="189"/>
      <c r="XB13" s="189"/>
      <c r="XC13" s="189"/>
      <c r="XD13" s="189"/>
      <c r="XE13" s="189"/>
      <c r="XF13" s="189"/>
      <c r="XG13" s="189"/>
      <c r="XH13" s="189"/>
      <c r="XI13" s="189"/>
      <c r="XJ13" s="189"/>
      <c r="XK13" s="189"/>
      <c r="XL13" s="189"/>
      <c r="XM13" s="189"/>
      <c r="XN13" s="189"/>
      <c r="XO13" s="189"/>
      <c r="XP13" s="189"/>
      <c r="XQ13" s="189"/>
      <c r="XR13" s="189"/>
      <c r="XS13" s="189"/>
      <c r="XT13" s="189"/>
      <c r="XU13" s="189"/>
      <c r="XV13" s="189"/>
      <c r="XW13" s="189"/>
      <c r="XX13" s="189"/>
      <c r="XY13" s="189"/>
      <c r="XZ13" s="189"/>
      <c r="YA13" s="189"/>
      <c r="YB13" s="189"/>
      <c r="YC13" s="189"/>
      <c r="YD13" s="189"/>
      <c r="YE13" s="189"/>
      <c r="YF13" s="189"/>
      <c r="YG13" s="189"/>
      <c r="YH13" s="189"/>
      <c r="YI13" s="189"/>
      <c r="YJ13" s="189"/>
      <c r="YK13" s="189"/>
      <c r="YL13" s="189"/>
      <c r="YM13" s="189"/>
      <c r="YN13" s="189"/>
      <c r="YO13" s="190"/>
      <c r="YP13" s="188" t="s">
        <v>98</v>
      </c>
      <c r="YQ13" s="189"/>
      <c r="YR13" s="189"/>
      <c r="YS13" s="189"/>
      <c r="YT13" s="189"/>
      <c r="YU13" s="189"/>
      <c r="YV13" s="189"/>
      <c r="YW13" s="189"/>
      <c r="YX13" s="189"/>
      <c r="YY13" s="189"/>
      <c r="YZ13" s="189"/>
      <c r="ZA13" s="189"/>
      <c r="ZB13" s="189"/>
      <c r="ZC13" s="189"/>
      <c r="ZD13" s="189"/>
      <c r="ZE13" s="189"/>
      <c r="ZF13" s="189"/>
      <c r="ZG13" s="189"/>
      <c r="ZH13" s="189"/>
      <c r="ZI13" s="189"/>
      <c r="ZJ13" s="189"/>
      <c r="ZK13" s="189"/>
      <c r="ZL13" s="189"/>
      <c r="ZM13" s="189"/>
      <c r="ZN13" s="189"/>
      <c r="ZO13" s="189"/>
      <c r="ZP13" s="189"/>
      <c r="ZQ13" s="189"/>
      <c r="ZR13" s="189"/>
      <c r="ZS13" s="189"/>
      <c r="ZT13" s="189"/>
      <c r="ZU13" s="189"/>
      <c r="ZV13" s="189"/>
      <c r="ZW13" s="189"/>
      <c r="ZX13" s="189"/>
      <c r="ZY13" s="189"/>
      <c r="ZZ13" s="189"/>
      <c r="AAA13" s="189"/>
      <c r="AAB13" s="189"/>
      <c r="AAC13" s="189"/>
      <c r="AAD13" s="189"/>
      <c r="AAE13" s="189"/>
      <c r="AAF13" s="189"/>
      <c r="AAG13" s="189"/>
      <c r="AAH13" s="189"/>
      <c r="AAI13" s="189"/>
      <c r="AAJ13" s="189"/>
      <c r="AAK13" s="189"/>
      <c r="AAL13" s="189"/>
      <c r="AAM13" s="189"/>
      <c r="AAN13" s="189"/>
      <c r="AAO13" s="189"/>
      <c r="AAP13" s="189"/>
      <c r="AAQ13" s="189"/>
      <c r="AAR13" s="189"/>
      <c r="AAS13" s="189"/>
      <c r="AAT13" s="189"/>
      <c r="AAU13" s="189"/>
      <c r="AAV13" s="189"/>
      <c r="AAW13" s="190"/>
      <c r="AAX13" s="188" t="s">
        <v>99</v>
      </c>
      <c r="AAY13" s="189"/>
      <c r="AAZ13" s="189"/>
      <c r="ABA13" s="189"/>
      <c r="ABB13" s="189"/>
      <c r="ABC13" s="189"/>
      <c r="ABD13" s="189"/>
      <c r="ABE13" s="189"/>
      <c r="ABF13" s="189"/>
      <c r="ABG13" s="189"/>
      <c r="ABH13" s="189"/>
      <c r="ABI13" s="189"/>
      <c r="ABJ13" s="189"/>
      <c r="ABK13" s="189"/>
      <c r="ABL13" s="189"/>
      <c r="ABM13" s="189"/>
      <c r="ABN13" s="189"/>
      <c r="ABO13" s="189"/>
      <c r="ABP13" s="189"/>
      <c r="ABQ13" s="189"/>
      <c r="ABR13" s="189"/>
      <c r="ABS13" s="189"/>
      <c r="ABT13" s="189"/>
      <c r="ABU13" s="189"/>
      <c r="ABV13" s="189"/>
      <c r="ABW13" s="189"/>
      <c r="ABX13" s="189"/>
      <c r="ABY13" s="189"/>
      <c r="ABZ13" s="189"/>
      <c r="ACA13" s="189"/>
      <c r="ACB13" s="189"/>
      <c r="ACC13" s="189"/>
      <c r="ACD13" s="189"/>
      <c r="ACE13" s="189"/>
      <c r="ACF13" s="189"/>
      <c r="ACG13" s="189"/>
      <c r="ACH13" s="189"/>
      <c r="ACI13" s="189"/>
      <c r="ACJ13" s="189"/>
      <c r="ACK13" s="189"/>
      <c r="ACL13" s="189"/>
      <c r="ACM13" s="189"/>
      <c r="ACN13" s="189"/>
      <c r="ACO13" s="189"/>
      <c r="ACP13" s="189"/>
      <c r="ACQ13" s="189"/>
      <c r="ACR13" s="189"/>
      <c r="ACS13" s="189"/>
      <c r="ACT13" s="189"/>
      <c r="ACU13" s="189"/>
      <c r="ACV13" s="189"/>
      <c r="ACW13" s="189"/>
      <c r="ACX13" s="189"/>
      <c r="ACY13" s="189"/>
      <c r="ACZ13" s="189"/>
      <c r="ADA13" s="189"/>
      <c r="ADB13" s="189"/>
      <c r="ADC13" s="189"/>
      <c r="ADD13" s="189"/>
      <c r="ADE13" s="190"/>
      <c r="ADF13" s="188" t="s">
        <v>100</v>
      </c>
      <c r="ADG13" s="189"/>
      <c r="ADH13" s="189"/>
      <c r="ADI13" s="189"/>
      <c r="ADJ13" s="189"/>
      <c r="ADK13" s="189"/>
      <c r="ADL13" s="189"/>
      <c r="ADM13" s="189"/>
      <c r="ADN13" s="189"/>
      <c r="ADO13" s="189"/>
      <c r="ADP13" s="189"/>
      <c r="ADQ13" s="189"/>
      <c r="ADR13" s="189"/>
      <c r="ADS13" s="189"/>
      <c r="ADT13" s="189"/>
      <c r="ADU13" s="189"/>
      <c r="ADV13" s="189"/>
      <c r="ADW13" s="189"/>
      <c r="ADX13" s="189"/>
      <c r="ADY13" s="189"/>
      <c r="ADZ13" s="189"/>
      <c r="AEA13" s="189"/>
      <c r="AEB13" s="189"/>
      <c r="AEC13" s="189"/>
      <c r="AED13" s="189"/>
      <c r="AEE13" s="189"/>
      <c r="AEF13" s="189"/>
      <c r="AEG13" s="189"/>
      <c r="AEH13" s="189"/>
      <c r="AEI13" s="189"/>
      <c r="AEJ13" s="189"/>
      <c r="AEK13" s="189"/>
      <c r="AEL13" s="189"/>
      <c r="AEM13" s="189"/>
      <c r="AEN13" s="189"/>
      <c r="AEO13" s="189"/>
      <c r="AEP13" s="189"/>
      <c r="AEQ13" s="189"/>
      <c r="AER13" s="189"/>
      <c r="AES13" s="189"/>
      <c r="AET13" s="189"/>
      <c r="AEU13" s="189"/>
      <c r="AEV13" s="189"/>
      <c r="AEW13" s="189"/>
      <c r="AEX13" s="189"/>
      <c r="AEY13" s="189"/>
      <c r="AEZ13" s="189"/>
      <c r="AFA13" s="189"/>
      <c r="AFB13" s="189"/>
      <c r="AFC13" s="189"/>
      <c r="AFD13" s="189"/>
      <c r="AFE13" s="189"/>
      <c r="AFF13" s="189"/>
      <c r="AFG13" s="189"/>
      <c r="AFH13" s="189"/>
      <c r="AFI13" s="189"/>
      <c r="AFJ13" s="189"/>
      <c r="AFK13" s="189"/>
      <c r="AFL13" s="189"/>
      <c r="AFM13" s="190"/>
      <c r="AFN13" s="188" t="s">
        <v>101</v>
      </c>
      <c r="AFO13" s="189"/>
      <c r="AFP13" s="189"/>
      <c r="AFQ13" s="189"/>
      <c r="AFR13" s="189"/>
      <c r="AFS13" s="189"/>
      <c r="AFT13" s="189"/>
      <c r="AFU13" s="189"/>
      <c r="AFV13" s="189"/>
      <c r="AFW13" s="189"/>
      <c r="AFX13" s="189"/>
      <c r="AFY13" s="189"/>
      <c r="AFZ13" s="189"/>
      <c r="AGA13" s="189"/>
      <c r="AGB13" s="189"/>
      <c r="AGC13" s="189"/>
      <c r="AGD13" s="189"/>
      <c r="AGE13" s="189"/>
      <c r="AGF13" s="189"/>
      <c r="AGG13" s="189"/>
      <c r="AGH13" s="189"/>
      <c r="AGI13" s="189"/>
      <c r="AGJ13" s="189"/>
      <c r="AGK13" s="189"/>
      <c r="AGL13" s="189"/>
      <c r="AGM13" s="189"/>
      <c r="AGN13" s="189"/>
      <c r="AGO13" s="189"/>
      <c r="AGP13" s="189"/>
      <c r="AGQ13" s="189"/>
      <c r="AGR13" s="189"/>
      <c r="AGS13" s="189"/>
      <c r="AGT13" s="189"/>
      <c r="AGU13" s="189"/>
      <c r="AGV13" s="189"/>
      <c r="AGW13" s="189"/>
      <c r="AGX13" s="189"/>
      <c r="AGY13" s="189"/>
      <c r="AGZ13" s="189"/>
      <c r="AHA13" s="189"/>
      <c r="AHB13" s="189"/>
      <c r="AHC13" s="189"/>
      <c r="AHD13" s="189"/>
      <c r="AHE13" s="189"/>
      <c r="AHF13" s="189"/>
      <c r="AHG13" s="189"/>
      <c r="AHH13" s="189"/>
      <c r="AHI13" s="189"/>
      <c r="AHJ13" s="189"/>
      <c r="AHK13" s="189"/>
      <c r="AHL13" s="189"/>
      <c r="AHM13" s="189"/>
      <c r="AHN13" s="189"/>
      <c r="AHO13" s="189"/>
      <c r="AHP13" s="189"/>
      <c r="AHQ13" s="189"/>
      <c r="AHR13" s="189"/>
      <c r="AHS13" s="189"/>
      <c r="AHT13" s="189"/>
      <c r="AHU13" s="190"/>
      <c r="AHV13" s="188" t="s">
        <v>102</v>
      </c>
      <c r="AHW13" s="189"/>
      <c r="AHX13" s="189"/>
      <c r="AHY13" s="189"/>
      <c r="AHZ13" s="189"/>
      <c r="AIA13" s="189"/>
      <c r="AIB13" s="189"/>
      <c r="AIC13" s="189"/>
      <c r="AID13" s="189"/>
      <c r="AIE13" s="189"/>
      <c r="AIF13" s="189"/>
      <c r="AIG13" s="189"/>
      <c r="AIH13" s="189"/>
      <c r="AII13" s="189"/>
      <c r="AIJ13" s="189"/>
      <c r="AIK13" s="189"/>
      <c r="AIL13" s="189"/>
      <c r="AIM13" s="189"/>
      <c r="AIN13" s="189"/>
      <c r="AIO13" s="189"/>
      <c r="AIP13" s="189"/>
      <c r="AIQ13" s="189"/>
      <c r="AIR13" s="189"/>
      <c r="AIS13" s="189"/>
      <c r="AIT13" s="189"/>
      <c r="AIU13" s="189"/>
      <c r="AIV13" s="189"/>
      <c r="AIW13" s="189"/>
      <c r="AIX13" s="189"/>
      <c r="AIY13" s="189"/>
      <c r="AIZ13" s="189"/>
      <c r="AJA13" s="189"/>
      <c r="AJB13" s="189"/>
      <c r="AJC13" s="189"/>
      <c r="AJD13" s="189"/>
      <c r="AJE13" s="189"/>
      <c r="AJF13" s="189"/>
      <c r="AJG13" s="189"/>
      <c r="AJH13" s="189"/>
      <c r="AJI13" s="189"/>
      <c r="AJJ13" s="189"/>
      <c r="AJK13" s="189"/>
      <c r="AJL13" s="189"/>
      <c r="AJM13" s="189"/>
      <c r="AJN13" s="189"/>
      <c r="AJO13" s="189"/>
      <c r="AJP13" s="189"/>
      <c r="AJQ13" s="189"/>
      <c r="AJR13" s="189"/>
      <c r="AJS13" s="189"/>
      <c r="AJT13" s="189"/>
      <c r="AJU13" s="189"/>
      <c r="AJV13" s="189"/>
      <c r="AJW13" s="189"/>
      <c r="AJX13" s="189"/>
      <c r="AJY13" s="189"/>
      <c r="AJZ13" s="189"/>
      <c r="AKA13" s="189"/>
      <c r="AKB13" s="189"/>
      <c r="AKC13" s="190"/>
      <c r="AKD13" s="188" t="s">
        <v>103</v>
      </c>
      <c r="AKE13" s="189"/>
      <c r="AKF13" s="189"/>
      <c r="AKG13" s="189"/>
      <c r="AKH13" s="189"/>
      <c r="AKI13" s="189"/>
      <c r="AKJ13" s="189"/>
      <c r="AKK13" s="189"/>
      <c r="AKL13" s="189"/>
      <c r="AKM13" s="189"/>
      <c r="AKN13" s="189"/>
      <c r="AKO13" s="189"/>
      <c r="AKP13" s="189"/>
      <c r="AKQ13" s="189"/>
      <c r="AKR13" s="189"/>
      <c r="AKS13" s="189"/>
      <c r="AKT13" s="189"/>
      <c r="AKU13" s="189"/>
      <c r="AKV13" s="189"/>
      <c r="AKW13" s="189"/>
      <c r="AKX13" s="189"/>
      <c r="AKY13" s="189"/>
      <c r="AKZ13" s="189"/>
      <c r="ALA13" s="189"/>
      <c r="ALB13" s="189"/>
      <c r="ALC13" s="189"/>
      <c r="ALD13" s="189"/>
      <c r="ALE13" s="189"/>
      <c r="ALF13" s="189"/>
      <c r="ALG13" s="189"/>
      <c r="ALH13" s="189"/>
      <c r="ALI13" s="189"/>
      <c r="ALJ13" s="189"/>
      <c r="ALK13" s="189"/>
      <c r="ALL13" s="189"/>
      <c r="ALM13" s="189"/>
      <c r="ALN13" s="189"/>
      <c r="ALO13" s="189"/>
      <c r="ALP13" s="189"/>
      <c r="ALQ13" s="189"/>
      <c r="ALR13" s="189"/>
      <c r="ALS13" s="189"/>
      <c r="ALT13" s="189"/>
      <c r="ALU13" s="189"/>
      <c r="ALV13" s="189"/>
      <c r="ALW13" s="189"/>
      <c r="ALX13" s="189"/>
      <c r="ALY13" s="189"/>
      <c r="ALZ13" s="189"/>
      <c r="AMA13" s="189"/>
      <c r="AMB13" s="189"/>
      <c r="AMC13" s="189"/>
      <c r="AMD13" s="189"/>
      <c r="AME13" s="189"/>
      <c r="AMF13" s="189"/>
      <c r="AMG13" s="189"/>
      <c r="AMH13" s="189"/>
      <c r="AMI13" s="189"/>
      <c r="AMJ13" s="189"/>
      <c r="AMK13" s="190"/>
      <c r="AML13" s="188" t="s">
        <v>104</v>
      </c>
      <c r="AMM13" s="189"/>
      <c r="AMN13" s="189"/>
      <c r="AMO13" s="189"/>
      <c r="AMP13" s="189"/>
      <c r="AMQ13" s="189"/>
      <c r="AMR13" s="189"/>
      <c r="AMS13" s="189"/>
      <c r="AMT13" s="189"/>
      <c r="AMU13" s="189"/>
      <c r="AMV13" s="189"/>
      <c r="AMW13" s="189"/>
      <c r="AMX13" s="189"/>
      <c r="AMY13" s="189"/>
      <c r="AMZ13" s="189"/>
      <c r="ANA13" s="189"/>
      <c r="ANB13" s="189"/>
      <c r="ANC13" s="189"/>
      <c r="AND13" s="189"/>
      <c r="ANE13" s="189"/>
      <c r="ANF13" s="189"/>
      <c r="ANG13" s="189"/>
      <c r="ANH13" s="189"/>
      <c r="ANI13" s="189"/>
      <c r="ANJ13" s="189"/>
      <c r="ANK13" s="189"/>
      <c r="ANL13" s="189"/>
      <c r="ANM13" s="189"/>
      <c r="ANN13" s="189"/>
      <c r="ANO13" s="189"/>
      <c r="ANP13" s="189"/>
      <c r="ANQ13" s="189"/>
      <c r="ANR13" s="189"/>
      <c r="ANS13" s="189"/>
      <c r="ANT13" s="189"/>
      <c r="ANU13" s="189"/>
      <c r="ANV13" s="189"/>
      <c r="ANW13" s="189"/>
      <c r="ANX13" s="189"/>
      <c r="ANY13" s="189"/>
      <c r="ANZ13" s="189"/>
      <c r="AOA13" s="189"/>
      <c r="AOB13" s="189"/>
      <c r="AOC13" s="189"/>
      <c r="AOD13" s="189"/>
      <c r="AOE13" s="189"/>
      <c r="AOF13" s="189"/>
      <c r="AOG13" s="189"/>
      <c r="AOH13" s="189"/>
      <c r="AOI13" s="189"/>
      <c r="AOJ13" s="189"/>
      <c r="AOK13" s="189"/>
      <c r="AOL13" s="189"/>
      <c r="AOM13" s="189"/>
      <c r="AON13" s="189"/>
      <c r="AOO13" s="189"/>
      <c r="AOP13" s="189"/>
      <c r="AOQ13" s="189"/>
      <c r="AOR13" s="189"/>
      <c r="AOS13" s="190"/>
      <c r="AOT13" s="188" t="s">
        <v>105</v>
      </c>
      <c r="AOU13" s="189"/>
      <c r="AOV13" s="189"/>
      <c r="AOW13" s="189"/>
      <c r="AOX13" s="189"/>
      <c r="AOY13" s="189"/>
      <c r="AOZ13" s="189"/>
      <c r="APA13" s="189"/>
      <c r="APB13" s="189"/>
      <c r="APC13" s="189"/>
      <c r="APD13" s="189"/>
      <c r="APE13" s="189"/>
      <c r="APF13" s="189"/>
      <c r="APG13" s="189"/>
      <c r="APH13" s="189"/>
      <c r="API13" s="189"/>
      <c r="APJ13" s="189"/>
      <c r="APK13" s="189"/>
      <c r="APL13" s="189"/>
      <c r="APM13" s="189"/>
      <c r="APN13" s="189"/>
      <c r="APO13" s="189"/>
      <c r="APP13" s="189"/>
      <c r="APQ13" s="189"/>
      <c r="APR13" s="189"/>
      <c r="APS13" s="189"/>
      <c r="APT13" s="189"/>
      <c r="APU13" s="189"/>
      <c r="APV13" s="189"/>
      <c r="APW13" s="189"/>
      <c r="APX13" s="189"/>
      <c r="APY13" s="189"/>
      <c r="APZ13" s="189"/>
      <c r="AQA13" s="189"/>
      <c r="AQB13" s="189"/>
      <c r="AQC13" s="189"/>
      <c r="AQD13" s="189"/>
      <c r="AQE13" s="189"/>
      <c r="AQF13" s="189"/>
      <c r="AQG13" s="189"/>
      <c r="AQH13" s="189"/>
      <c r="AQI13" s="189"/>
      <c r="AQJ13" s="189"/>
      <c r="AQK13" s="189"/>
      <c r="AQL13" s="189"/>
      <c r="AQM13" s="189"/>
      <c r="AQN13" s="189"/>
      <c r="AQO13" s="189"/>
      <c r="AQP13" s="189"/>
      <c r="AQQ13" s="189"/>
      <c r="AQR13" s="189"/>
      <c r="AQS13" s="189"/>
      <c r="AQT13" s="189"/>
      <c r="AQU13" s="189"/>
      <c r="AQV13" s="189"/>
      <c r="AQW13" s="189"/>
      <c r="AQX13" s="189"/>
      <c r="AQY13" s="189"/>
      <c r="AQZ13" s="189"/>
      <c r="ARA13" s="190"/>
      <c r="ARB13" s="188" t="s">
        <v>106</v>
      </c>
      <c r="ARC13" s="189"/>
      <c r="ARD13" s="189"/>
      <c r="ARE13" s="189"/>
      <c r="ARF13" s="189"/>
      <c r="ARG13" s="189"/>
      <c r="ARH13" s="189"/>
      <c r="ARI13" s="189"/>
      <c r="ARJ13" s="189"/>
      <c r="ARK13" s="189"/>
      <c r="ARL13" s="189"/>
      <c r="ARM13" s="189"/>
      <c r="ARN13" s="189"/>
      <c r="ARO13" s="189"/>
      <c r="ARP13" s="189"/>
      <c r="ARQ13" s="189"/>
      <c r="ARR13" s="189"/>
      <c r="ARS13" s="189"/>
      <c r="ART13" s="189"/>
      <c r="ARU13" s="189"/>
      <c r="ARV13" s="189"/>
      <c r="ARW13" s="189"/>
      <c r="ARX13" s="189"/>
      <c r="ARY13" s="189"/>
      <c r="ARZ13" s="189"/>
      <c r="ASA13" s="189"/>
      <c r="ASB13" s="189"/>
      <c r="ASC13" s="189"/>
      <c r="ASD13" s="189"/>
      <c r="ASE13" s="189"/>
      <c r="ASF13" s="189"/>
      <c r="ASG13" s="189"/>
      <c r="ASH13" s="189"/>
      <c r="ASI13" s="189"/>
      <c r="ASJ13" s="189"/>
      <c r="ASK13" s="189"/>
      <c r="ASL13" s="189"/>
      <c r="ASM13" s="189"/>
      <c r="ASN13" s="189"/>
      <c r="ASO13" s="189"/>
      <c r="ASP13" s="189"/>
      <c r="ASQ13" s="189"/>
      <c r="ASR13" s="189"/>
      <c r="ASS13" s="189"/>
      <c r="AST13" s="189"/>
      <c r="ASU13" s="189"/>
      <c r="ASV13" s="189"/>
      <c r="ASW13" s="189"/>
      <c r="ASX13" s="189"/>
      <c r="ASY13" s="189"/>
      <c r="ASZ13" s="189"/>
      <c r="ATA13" s="189"/>
      <c r="ATB13" s="189"/>
      <c r="ATC13" s="189"/>
      <c r="ATD13" s="189"/>
      <c r="ATE13" s="189"/>
      <c r="ATF13" s="189"/>
      <c r="ATG13" s="189"/>
      <c r="ATH13" s="189"/>
      <c r="ATI13" s="190"/>
      <c r="ATJ13" s="188" t="s">
        <v>107</v>
      </c>
      <c r="ATK13" s="189"/>
      <c r="ATL13" s="189"/>
      <c r="ATM13" s="189"/>
      <c r="ATN13" s="189"/>
      <c r="ATO13" s="189"/>
      <c r="ATP13" s="189"/>
      <c r="ATQ13" s="189"/>
      <c r="ATR13" s="189"/>
      <c r="ATS13" s="189"/>
      <c r="ATT13" s="189"/>
      <c r="ATU13" s="189"/>
      <c r="ATV13" s="189"/>
      <c r="ATW13" s="189"/>
      <c r="ATX13" s="189"/>
      <c r="ATY13" s="189"/>
      <c r="ATZ13" s="189"/>
      <c r="AUA13" s="189"/>
      <c r="AUB13" s="189"/>
      <c r="AUC13" s="189"/>
      <c r="AUD13" s="189"/>
      <c r="AUE13" s="189"/>
      <c r="AUF13" s="189"/>
      <c r="AUG13" s="189"/>
      <c r="AUH13" s="189"/>
      <c r="AUI13" s="189"/>
      <c r="AUJ13" s="189"/>
      <c r="AUK13" s="189"/>
      <c r="AUL13" s="189"/>
      <c r="AUM13" s="189"/>
      <c r="AUN13" s="189"/>
      <c r="AUO13" s="189"/>
      <c r="AUP13" s="189"/>
      <c r="AUQ13" s="189"/>
      <c r="AUR13" s="189"/>
      <c r="AUS13" s="189"/>
      <c r="AUT13" s="189"/>
      <c r="AUU13" s="189"/>
      <c r="AUV13" s="189"/>
      <c r="AUW13" s="189"/>
      <c r="AUX13" s="189"/>
      <c r="AUY13" s="189"/>
      <c r="AUZ13" s="189"/>
      <c r="AVA13" s="189"/>
      <c r="AVB13" s="189"/>
      <c r="AVC13" s="189"/>
      <c r="AVD13" s="189"/>
      <c r="AVE13" s="189"/>
      <c r="AVF13" s="189"/>
      <c r="AVG13" s="189"/>
      <c r="AVH13" s="189"/>
      <c r="AVI13" s="189"/>
      <c r="AVJ13" s="189"/>
      <c r="AVK13" s="189"/>
      <c r="AVL13" s="189"/>
      <c r="AVM13" s="189"/>
      <c r="AVN13" s="189"/>
      <c r="AVO13" s="189"/>
      <c r="AVP13" s="189"/>
      <c r="AVQ13" s="190"/>
      <c r="AVR13" s="188" t="s">
        <v>108</v>
      </c>
      <c r="AVS13" s="189"/>
      <c r="AVT13" s="189"/>
      <c r="AVU13" s="189"/>
      <c r="AVV13" s="189"/>
      <c r="AVW13" s="189"/>
      <c r="AVX13" s="189"/>
      <c r="AVY13" s="189"/>
      <c r="AVZ13" s="189"/>
      <c r="AWA13" s="189"/>
      <c r="AWB13" s="189"/>
      <c r="AWC13" s="189"/>
      <c r="AWD13" s="189"/>
      <c r="AWE13" s="189"/>
      <c r="AWF13" s="189"/>
      <c r="AWG13" s="189"/>
      <c r="AWH13" s="189"/>
      <c r="AWI13" s="189"/>
      <c r="AWJ13" s="189"/>
      <c r="AWK13" s="189"/>
      <c r="AWL13" s="189"/>
      <c r="AWM13" s="189"/>
      <c r="AWN13" s="189"/>
      <c r="AWO13" s="189"/>
      <c r="AWP13" s="189"/>
      <c r="AWQ13" s="189"/>
      <c r="AWR13" s="189"/>
      <c r="AWS13" s="189"/>
      <c r="AWT13" s="189"/>
      <c r="AWU13" s="189"/>
      <c r="AWV13" s="189"/>
      <c r="AWW13" s="189"/>
      <c r="AWX13" s="189"/>
      <c r="AWY13" s="189"/>
      <c r="AWZ13" s="189"/>
      <c r="AXA13" s="189"/>
      <c r="AXB13" s="189"/>
      <c r="AXC13" s="189"/>
      <c r="AXD13" s="189"/>
      <c r="AXE13" s="189"/>
      <c r="AXF13" s="189"/>
      <c r="AXG13" s="189"/>
      <c r="AXH13" s="189"/>
      <c r="AXI13" s="189"/>
      <c r="AXJ13" s="189"/>
      <c r="AXK13" s="189"/>
      <c r="AXL13" s="189"/>
      <c r="AXM13" s="189"/>
      <c r="AXN13" s="189"/>
      <c r="AXO13" s="189"/>
      <c r="AXP13" s="189"/>
      <c r="AXQ13" s="189"/>
      <c r="AXR13" s="189"/>
      <c r="AXS13" s="189"/>
      <c r="AXT13" s="189"/>
      <c r="AXU13" s="189"/>
      <c r="AXV13" s="189"/>
      <c r="AXW13" s="189"/>
      <c r="AXX13" s="189"/>
      <c r="AXY13" s="190"/>
      <c r="AXZ13" s="188" t="s">
        <v>109</v>
      </c>
      <c r="AYA13" s="189"/>
      <c r="AYB13" s="189"/>
      <c r="AYC13" s="189"/>
      <c r="AYD13" s="189"/>
      <c r="AYE13" s="189"/>
      <c r="AYF13" s="189"/>
      <c r="AYG13" s="189"/>
      <c r="AYH13" s="189"/>
      <c r="AYI13" s="189"/>
      <c r="AYJ13" s="189"/>
      <c r="AYK13" s="189"/>
      <c r="AYL13" s="189"/>
      <c r="AYM13" s="189"/>
      <c r="AYN13" s="189"/>
      <c r="AYO13" s="189"/>
      <c r="AYP13" s="189"/>
      <c r="AYQ13" s="189"/>
      <c r="AYR13" s="189"/>
      <c r="AYS13" s="189"/>
      <c r="AYT13" s="189"/>
      <c r="AYU13" s="189"/>
      <c r="AYV13" s="189"/>
      <c r="AYW13" s="189"/>
      <c r="AYX13" s="189"/>
      <c r="AYY13" s="189"/>
      <c r="AYZ13" s="189"/>
      <c r="AZA13" s="189"/>
      <c r="AZB13" s="189"/>
      <c r="AZC13" s="189"/>
      <c r="AZD13" s="189"/>
      <c r="AZE13" s="189"/>
      <c r="AZF13" s="189"/>
      <c r="AZG13" s="189"/>
      <c r="AZH13" s="189"/>
      <c r="AZI13" s="189"/>
      <c r="AZJ13" s="189"/>
      <c r="AZK13" s="189"/>
      <c r="AZL13" s="189"/>
      <c r="AZM13" s="189"/>
      <c r="AZN13" s="189"/>
      <c r="AZO13" s="189"/>
      <c r="AZP13" s="189"/>
      <c r="AZQ13" s="189"/>
      <c r="AZR13" s="189"/>
      <c r="AZS13" s="189"/>
      <c r="AZT13" s="189"/>
      <c r="AZU13" s="189"/>
      <c r="AZV13" s="189"/>
      <c r="AZW13" s="189"/>
      <c r="AZX13" s="189"/>
      <c r="AZY13" s="189"/>
      <c r="AZZ13" s="189"/>
      <c r="BAA13" s="189"/>
      <c r="BAB13" s="189"/>
      <c r="BAC13" s="189"/>
      <c r="BAD13" s="189"/>
      <c r="BAE13" s="189"/>
      <c r="BAF13" s="189"/>
      <c r="BAG13" s="190"/>
      <c r="BAH13" s="188" t="s">
        <v>110</v>
      </c>
      <c r="BAI13" s="189"/>
      <c r="BAJ13" s="189"/>
      <c r="BAK13" s="189"/>
      <c r="BAL13" s="189"/>
      <c r="BAM13" s="189"/>
      <c r="BAN13" s="189"/>
      <c r="BAO13" s="189"/>
      <c r="BAP13" s="189"/>
      <c r="BAQ13" s="189"/>
      <c r="BAR13" s="189"/>
      <c r="BAS13" s="189"/>
      <c r="BAT13" s="189"/>
      <c r="BAU13" s="189"/>
      <c r="BAV13" s="189"/>
      <c r="BAW13" s="189"/>
      <c r="BAX13" s="189"/>
      <c r="BAY13" s="189"/>
      <c r="BAZ13" s="189"/>
      <c r="BBA13" s="189"/>
      <c r="BBB13" s="189"/>
      <c r="BBC13" s="189"/>
      <c r="BBD13" s="189"/>
      <c r="BBE13" s="189"/>
      <c r="BBF13" s="189"/>
      <c r="BBG13" s="189"/>
      <c r="BBH13" s="189"/>
      <c r="BBI13" s="189"/>
      <c r="BBJ13" s="189"/>
      <c r="BBK13" s="189"/>
      <c r="BBL13" s="189"/>
      <c r="BBM13" s="189"/>
      <c r="BBN13" s="189"/>
      <c r="BBO13" s="189"/>
      <c r="BBP13" s="189"/>
      <c r="BBQ13" s="189"/>
      <c r="BBR13" s="189"/>
      <c r="BBS13" s="189"/>
      <c r="BBT13" s="189"/>
      <c r="BBU13" s="189"/>
      <c r="BBV13" s="189"/>
      <c r="BBW13" s="189"/>
      <c r="BBX13" s="189"/>
      <c r="BBY13" s="189"/>
      <c r="BBZ13" s="189"/>
      <c r="BCA13" s="189"/>
      <c r="BCB13" s="189"/>
      <c r="BCC13" s="189"/>
      <c r="BCD13" s="189"/>
      <c r="BCE13" s="189"/>
      <c r="BCF13" s="189"/>
      <c r="BCG13" s="189"/>
      <c r="BCH13" s="189"/>
      <c r="BCI13" s="189"/>
      <c r="BCJ13" s="189"/>
      <c r="BCK13" s="189"/>
      <c r="BCL13" s="189"/>
      <c r="BCM13" s="189"/>
      <c r="BCN13" s="189"/>
      <c r="BCO13" s="190"/>
      <c r="BCP13" s="188" t="s">
        <v>111</v>
      </c>
      <c r="BCQ13" s="189"/>
      <c r="BCR13" s="189"/>
      <c r="BCS13" s="189"/>
      <c r="BCT13" s="189"/>
      <c r="BCU13" s="189"/>
      <c r="BCV13" s="189"/>
      <c r="BCW13" s="189"/>
      <c r="BCX13" s="189"/>
      <c r="BCY13" s="189"/>
      <c r="BCZ13" s="189"/>
      <c r="BDA13" s="189"/>
      <c r="BDB13" s="189"/>
      <c r="BDC13" s="189"/>
      <c r="BDD13" s="189"/>
      <c r="BDE13" s="189"/>
      <c r="BDF13" s="189"/>
      <c r="BDG13" s="189"/>
      <c r="BDH13" s="189"/>
      <c r="BDI13" s="189"/>
      <c r="BDJ13" s="189"/>
      <c r="BDK13" s="189"/>
      <c r="BDL13" s="189"/>
      <c r="BDM13" s="189"/>
      <c r="BDN13" s="189"/>
      <c r="BDO13" s="189"/>
      <c r="BDP13" s="189"/>
      <c r="BDQ13" s="189"/>
      <c r="BDR13" s="189"/>
      <c r="BDS13" s="189"/>
      <c r="BDT13" s="189"/>
      <c r="BDU13" s="189"/>
      <c r="BDV13" s="189"/>
      <c r="BDW13" s="189"/>
      <c r="BDX13" s="189"/>
      <c r="BDY13" s="189"/>
      <c r="BDZ13" s="189"/>
      <c r="BEA13" s="189"/>
      <c r="BEB13" s="189"/>
      <c r="BEC13" s="189"/>
      <c r="BED13" s="189"/>
      <c r="BEE13" s="189"/>
      <c r="BEF13" s="189"/>
      <c r="BEG13" s="189"/>
      <c r="BEH13" s="189"/>
      <c r="BEI13" s="189"/>
      <c r="BEJ13" s="189"/>
      <c r="BEK13" s="189"/>
      <c r="BEL13" s="189"/>
      <c r="BEM13" s="189"/>
      <c r="BEN13" s="189"/>
      <c r="BEO13" s="189"/>
      <c r="BEP13" s="189"/>
      <c r="BEQ13" s="189"/>
      <c r="BER13" s="189"/>
      <c r="BES13" s="189"/>
      <c r="BET13" s="189"/>
      <c r="BEU13" s="189"/>
      <c r="BEV13" s="189"/>
      <c r="BEW13" s="190"/>
      <c r="BEX13" s="188" t="s">
        <v>112</v>
      </c>
      <c r="BEY13" s="189"/>
      <c r="BEZ13" s="189"/>
      <c r="BFA13" s="189"/>
      <c r="BFB13" s="189"/>
      <c r="BFC13" s="189"/>
      <c r="BFD13" s="189"/>
      <c r="BFE13" s="189"/>
      <c r="BFF13" s="189"/>
      <c r="BFG13" s="189"/>
      <c r="BFH13" s="189"/>
      <c r="BFI13" s="189"/>
      <c r="BFJ13" s="189"/>
      <c r="BFK13" s="189"/>
      <c r="BFL13" s="189"/>
      <c r="BFM13" s="189"/>
      <c r="BFN13" s="189"/>
      <c r="BFO13" s="189"/>
      <c r="BFP13" s="189"/>
      <c r="BFQ13" s="189"/>
      <c r="BFR13" s="189"/>
      <c r="BFS13" s="189"/>
      <c r="BFT13" s="189"/>
      <c r="BFU13" s="189"/>
      <c r="BFV13" s="189"/>
      <c r="BFW13" s="189"/>
      <c r="BFX13" s="189"/>
      <c r="BFY13" s="189"/>
      <c r="BFZ13" s="189"/>
      <c r="BGA13" s="189"/>
      <c r="BGB13" s="189"/>
      <c r="BGC13" s="189"/>
      <c r="BGD13" s="189"/>
      <c r="BGE13" s="189"/>
      <c r="BGF13" s="189"/>
      <c r="BGG13" s="189"/>
      <c r="BGH13" s="189"/>
      <c r="BGI13" s="189"/>
      <c r="BGJ13" s="189"/>
      <c r="BGK13" s="189"/>
      <c r="BGL13" s="189"/>
      <c r="BGM13" s="189"/>
      <c r="BGN13" s="189"/>
      <c r="BGO13" s="189"/>
      <c r="BGP13" s="189"/>
      <c r="BGQ13" s="189"/>
      <c r="BGR13" s="189"/>
      <c r="BGS13" s="189"/>
      <c r="BGT13" s="189"/>
      <c r="BGU13" s="189"/>
      <c r="BGV13" s="189"/>
      <c r="BGW13" s="189"/>
      <c r="BGX13" s="189"/>
      <c r="BGY13" s="189"/>
      <c r="BGZ13" s="189"/>
      <c r="BHA13" s="189"/>
      <c r="BHB13" s="189"/>
      <c r="BHC13" s="189"/>
      <c r="BHD13" s="189"/>
      <c r="BHE13" s="190"/>
      <c r="BHF13" s="188" t="s">
        <v>113</v>
      </c>
      <c r="BHG13" s="189"/>
      <c r="BHH13" s="189"/>
      <c r="BHI13" s="189"/>
      <c r="BHJ13" s="189"/>
      <c r="BHK13" s="189"/>
      <c r="BHL13" s="189"/>
      <c r="BHM13" s="189"/>
      <c r="BHN13" s="189"/>
      <c r="BHO13" s="189"/>
      <c r="BHP13" s="189"/>
      <c r="BHQ13" s="189"/>
      <c r="BHR13" s="189"/>
      <c r="BHS13" s="189"/>
      <c r="BHT13" s="189"/>
      <c r="BHU13" s="189"/>
      <c r="BHV13" s="189"/>
      <c r="BHW13" s="189"/>
      <c r="BHX13" s="189"/>
      <c r="BHY13" s="189"/>
      <c r="BHZ13" s="189"/>
      <c r="BIA13" s="189"/>
      <c r="BIB13" s="189"/>
      <c r="BIC13" s="189"/>
      <c r="BID13" s="189"/>
      <c r="BIE13" s="189"/>
      <c r="BIF13" s="189"/>
      <c r="BIG13" s="189"/>
      <c r="BIH13" s="189"/>
      <c r="BII13" s="189"/>
      <c r="BIJ13" s="189"/>
      <c r="BIK13" s="189"/>
      <c r="BIL13" s="189"/>
      <c r="BIM13" s="189"/>
      <c r="BIN13" s="189"/>
      <c r="BIO13" s="189"/>
      <c r="BIP13" s="189"/>
      <c r="BIQ13" s="189"/>
      <c r="BIR13" s="189"/>
      <c r="BIS13" s="189"/>
      <c r="BIT13" s="189"/>
      <c r="BIU13" s="189"/>
      <c r="BIV13" s="189"/>
      <c r="BIW13" s="189"/>
      <c r="BIX13" s="189"/>
      <c r="BIY13" s="189"/>
      <c r="BIZ13" s="189"/>
      <c r="BJA13" s="189"/>
      <c r="BJB13" s="189"/>
      <c r="BJC13" s="189"/>
      <c r="BJD13" s="189"/>
      <c r="BJE13" s="189"/>
      <c r="BJF13" s="189"/>
      <c r="BJG13" s="189"/>
      <c r="BJH13" s="189"/>
      <c r="BJI13" s="189"/>
      <c r="BJJ13" s="189"/>
      <c r="BJK13" s="189"/>
      <c r="BJL13" s="189"/>
      <c r="BJM13" s="190"/>
      <c r="BJN13" s="73"/>
    </row>
    <row r="14" spans="1:1626" ht="12.75" customHeight="1" thickBot="1" x14ac:dyDescent="0.35">
      <c r="B14" s="51"/>
      <c r="C14" s="215"/>
      <c r="D14" s="118"/>
      <c r="E14" s="213"/>
      <c r="F14" s="81"/>
      <c r="G14" s="82"/>
      <c r="H14" s="82"/>
      <c r="I14" s="82"/>
      <c r="J14" s="191" t="s">
        <v>29</v>
      </c>
      <c r="K14" s="191"/>
      <c r="L14" s="191"/>
      <c r="M14" s="191"/>
      <c r="N14" s="82"/>
      <c r="O14" s="82"/>
      <c r="P14" s="192" t="s">
        <v>20</v>
      </c>
      <c r="Q14" s="192"/>
      <c r="R14" s="192"/>
      <c r="S14" s="192"/>
      <c r="T14" s="102"/>
      <c r="U14" s="102"/>
      <c r="V14" s="191" t="s">
        <v>30</v>
      </c>
      <c r="W14" s="191"/>
      <c r="X14" s="191"/>
      <c r="Y14" s="191"/>
      <c r="Z14" s="82"/>
      <c r="AA14" s="82"/>
      <c r="AB14" s="192" t="s">
        <v>21</v>
      </c>
      <c r="AC14" s="192"/>
      <c r="AD14" s="192"/>
      <c r="AE14" s="192"/>
      <c r="AF14" s="102"/>
      <c r="AG14" s="102"/>
      <c r="AH14" s="191" t="s">
        <v>31</v>
      </c>
      <c r="AI14" s="191"/>
      <c r="AJ14" s="191"/>
      <c r="AK14" s="191"/>
      <c r="AL14" s="82"/>
      <c r="AM14" s="82"/>
      <c r="AN14" s="192" t="s">
        <v>22</v>
      </c>
      <c r="AO14" s="192"/>
      <c r="AP14" s="192"/>
      <c r="AQ14" s="192"/>
      <c r="AR14" s="102"/>
      <c r="AS14" s="102"/>
      <c r="AT14" s="191" t="s">
        <v>32</v>
      </c>
      <c r="AU14" s="191"/>
      <c r="AV14" s="191"/>
      <c r="AW14" s="191"/>
      <c r="AX14" s="82"/>
      <c r="AY14" s="82"/>
      <c r="AZ14" s="192" t="s">
        <v>23</v>
      </c>
      <c r="BA14" s="192"/>
      <c r="BB14" s="192"/>
      <c r="BC14" s="192"/>
      <c r="BD14" s="102"/>
      <c r="BE14" s="102"/>
      <c r="BF14" s="191" t="s">
        <v>33</v>
      </c>
      <c r="BG14" s="191"/>
      <c r="BH14" s="191"/>
      <c r="BI14" s="191"/>
      <c r="BJ14" s="82"/>
      <c r="BK14" s="82"/>
      <c r="BL14" s="82"/>
      <c r="BM14" s="83"/>
      <c r="BN14" s="81"/>
      <c r="BO14" s="82"/>
      <c r="BP14" s="82"/>
      <c r="BQ14" s="82"/>
      <c r="BR14" s="191" t="s">
        <v>29</v>
      </c>
      <c r="BS14" s="191"/>
      <c r="BT14" s="191"/>
      <c r="BU14" s="191"/>
      <c r="BV14" s="82"/>
      <c r="BW14" s="82"/>
      <c r="BX14" s="192" t="s">
        <v>20</v>
      </c>
      <c r="BY14" s="192"/>
      <c r="BZ14" s="192"/>
      <c r="CA14" s="192"/>
      <c r="CB14" s="102"/>
      <c r="CC14" s="102"/>
      <c r="CD14" s="191" t="s">
        <v>30</v>
      </c>
      <c r="CE14" s="191"/>
      <c r="CF14" s="191"/>
      <c r="CG14" s="191"/>
      <c r="CH14" s="82"/>
      <c r="CI14" s="82"/>
      <c r="CJ14" s="192" t="s">
        <v>21</v>
      </c>
      <c r="CK14" s="192"/>
      <c r="CL14" s="192"/>
      <c r="CM14" s="192"/>
      <c r="CN14" s="102"/>
      <c r="CO14" s="102"/>
      <c r="CP14" s="191" t="s">
        <v>31</v>
      </c>
      <c r="CQ14" s="191"/>
      <c r="CR14" s="191"/>
      <c r="CS14" s="191"/>
      <c r="CT14" s="82"/>
      <c r="CU14" s="82"/>
      <c r="CV14" s="192" t="s">
        <v>22</v>
      </c>
      <c r="CW14" s="192"/>
      <c r="CX14" s="192"/>
      <c r="CY14" s="192"/>
      <c r="CZ14" s="102"/>
      <c r="DA14" s="102"/>
      <c r="DB14" s="191" t="s">
        <v>32</v>
      </c>
      <c r="DC14" s="191"/>
      <c r="DD14" s="191"/>
      <c r="DE14" s="191"/>
      <c r="DF14" s="82"/>
      <c r="DG14" s="82"/>
      <c r="DH14" s="192" t="s">
        <v>23</v>
      </c>
      <c r="DI14" s="192"/>
      <c r="DJ14" s="192"/>
      <c r="DK14" s="192"/>
      <c r="DL14" s="102"/>
      <c r="DM14" s="102"/>
      <c r="DN14" s="191" t="s">
        <v>33</v>
      </c>
      <c r="DO14" s="191"/>
      <c r="DP14" s="191"/>
      <c r="DQ14" s="191"/>
      <c r="DR14" s="82"/>
      <c r="DS14" s="82"/>
      <c r="DT14" s="82"/>
      <c r="DU14" s="83"/>
      <c r="DV14" s="81"/>
      <c r="DW14" s="82"/>
      <c r="DX14" s="82"/>
      <c r="DY14" s="82"/>
      <c r="DZ14" s="191" t="s">
        <v>29</v>
      </c>
      <c r="EA14" s="191"/>
      <c r="EB14" s="191"/>
      <c r="EC14" s="191"/>
      <c r="ED14" s="82"/>
      <c r="EE14" s="82"/>
      <c r="EF14" s="192" t="s">
        <v>20</v>
      </c>
      <c r="EG14" s="192"/>
      <c r="EH14" s="192"/>
      <c r="EI14" s="192"/>
      <c r="EJ14" s="102"/>
      <c r="EK14" s="102"/>
      <c r="EL14" s="191" t="s">
        <v>30</v>
      </c>
      <c r="EM14" s="191"/>
      <c r="EN14" s="191"/>
      <c r="EO14" s="191"/>
      <c r="EP14" s="82"/>
      <c r="EQ14" s="82"/>
      <c r="ER14" s="192" t="s">
        <v>21</v>
      </c>
      <c r="ES14" s="192"/>
      <c r="ET14" s="192"/>
      <c r="EU14" s="192"/>
      <c r="EV14" s="102"/>
      <c r="EW14" s="102"/>
      <c r="EX14" s="191" t="s">
        <v>31</v>
      </c>
      <c r="EY14" s="191"/>
      <c r="EZ14" s="191"/>
      <c r="FA14" s="191"/>
      <c r="FB14" s="82"/>
      <c r="FC14" s="82"/>
      <c r="FD14" s="192" t="s">
        <v>22</v>
      </c>
      <c r="FE14" s="192"/>
      <c r="FF14" s="192"/>
      <c r="FG14" s="192"/>
      <c r="FH14" s="102"/>
      <c r="FI14" s="102"/>
      <c r="FJ14" s="191" t="s">
        <v>32</v>
      </c>
      <c r="FK14" s="191"/>
      <c r="FL14" s="191"/>
      <c r="FM14" s="191"/>
      <c r="FN14" s="82"/>
      <c r="FO14" s="82"/>
      <c r="FP14" s="192" t="s">
        <v>23</v>
      </c>
      <c r="FQ14" s="192"/>
      <c r="FR14" s="192"/>
      <c r="FS14" s="192"/>
      <c r="FT14" s="102"/>
      <c r="FU14" s="102"/>
      <c r="FV14" s="191" t="s">
        <v>33</v>
      </c>
      <c r="FW14" s="191"/>
      <c r="FX14" s="191"/>
      <c r="FY14" s="191"/>
      <c r="FZ14" s="82"/>
      <c r="GA14" s="82"/>
      <c r="GB14" s="82"/>
      <c r="GC14" s="83"/>
      <c r="GD14" s="81"/>
      <c r="GE14" s="82"/>
      <c r="GF14" s="82"/>
      <c r="GG14" s="82"/>
      <c r="GH14" s="191" t="s">
        <v>29</v>
      </c>
      <c r="GI14" s="191"/>
      <c r="GJ14" s="191"/>
      <c r="GK14" s="191"/>
      <c r="GL14" s="82"/>
      <c r="GM14" s="82"/>
      <c r="GN14" s="192" t="s">
        <v>20</v>
      </c>
      <c r="GO14" s="192"/>
      <c r="GP14" s="192"/>
      <c r="GQ14" s="192"/>
      <c r="GR14" s="102"/>
      <c r="GS14" s="102"/>
      <c r="GT14" s="191" t="s">
        <v>30</v>
      </c>
      <c r="GU14" s="191"/>
      <c r="GV14" s="191"/>
      <c r="GW14" s="191"/>
      <c r="GX14" s="82"/>
      <c r="GY14" s="82"/>
      <c r="GZ14" s="192" t="s">
        <v>21</v>
      </c>
      <c r="HA14" s="192"/>
      <c r="HB14" s="192"/>
      <c r="HC14" s="192"/>
      <c r="HD14" s="102"/>
      <c r="HE14" s="102"/>
      <c r="HF14" s="191" t="s">
        <v>31</v>
      </c>
      <c r="HG14" s="191"/>
      <c r="HH14" s="191"/>
      <c r="HI14" s="191"/>
      <c r="HJ14" s="82"/>
      <c r="HK14" s="82"/>
      <c r="HL14" s="192" t="s">
        <v>22</v>
      </c>
      <c r="HM14" s="192"/>
      <c r="HN14" s="192"/>
      <c r="HO14" s="192"/>
      <c r="HP14" s="102"/>
      <c r="HQ14" s="102"/>
      <c r="HR14" s="191" t="s">
        <v>32</v>
      </c>
      <c r="HS14" s="191"/>
      <c r="HT14" s="191"/>
      <c r="HU14" s="191"/>
      <c r="HV14" s="82"/>
      <c r="HW14" s="82"/>
      <c r="HX14" s="192" t="s">
        <v>23</v>
      </c>
      <c r="HY14" s="192"/>
      <c r="HZ14" s="192"/>
      <c r="IA14" s="192"/>
      <c r="IB14" s="102"/>
      <c r="IC14" s="102"/>
      <c r="ID14" s="191" t="s">
        <v>33</v>
      </c>
      <c r="IE14" s="191"/>
      <c r="IF14" s="191"/>
      <c r="IG14" s="191"/>
      <c r="IH14" s="82"/>
      <c r="II14" s="82"/>
      <c r="IJ14" s="82"/>
      <c r="IK14" s="83"/>
      <c r="IL14" s="81"/>
      <c r="IM14" s="82"/>
      <c r="IN14" s="82"/>
      <c r="IO14" s="82"/>
      <c r="IP14" s="191" t="s">
        <v>29</v>
      </c>
      <c r="IQ14" s="191"/>
      <c r="IR14" s="191"/>
      <c r="IS14" s="191"/>
      <c r="IT14" s="82"/>
      <c r="IU14" s="82"/>
      <c r="IV14" s="192" t="s">
        <v>20</v>
      </c>
      <c r="IW14" s="192"/>
      <c r="IX14" s="192"/>
      <c r="IY14" s="192"/>
      <c r="IZ14" s="102"/>
      <c r="JA14" s="102"/>
      <c r="JB14" s="191" t="s">
        <v>30</v>
      </c>
      <c r="JC14" s="191"/>
      <c r="JD14" s="191"/>
      <c r="JE14" s="191"/>
      <c r="JF14" s="82"/>
      <c r="JG14" s="82"/>
      <c r="JH14" s="192" t="s">
        <v>21</v>
      </c>
      <c r="JI14" s="192"/>
      <c r="JJ14" s="192"/>
      <c r="JK14" s="192"/>
      <c r="JL14" s="102"/>
      <c r="JM14" s="102"/>
      <c r="JN14" s="191" t="s">
        <v>31</v>
      </c>
      <c r="JO14" s="191"/>
      <c r="JP14" s="191"/>
      <c r="JQ14" s="191"/>
      <c r="JR14" s="82"/>
      <c r="JS14" s="82"/>
      <c r="JT14" s="192" t="s">
        <v>22</v>
      </c>
      <c r="JU14" s="192"/>
      <c r="JV14" s="192"/>
      <c r="JW14" s="192"/>
      <c r="JX14" s="102"/>
      <c r="JY14" s="102"/>
      <c r="JZ14" s="191" t="s">
        <v>32</v>
      </c>
      <c r="KA14" s="191"/>
      <c r="KB14" s="191"/>
      <c r="KC14" s="191"/>
      <c r="KD14" s="82"/>
      <c r="KE14" s="82"/>
      <c r="KF14" s="192" t="s">
        <v>23</v>
      </c>
      <c r="KG14" s="192"/>
      <c r="KH14" s="192"/>
      <c r="KI14" s="192"/>
      <c r="KJ14" s="102"/>
      <c r="KK14" s="102"/>
      <c r="KL14" s="191" t="s">
        <v>33</v>
      </c>
      <c r="KM14" s="191"/>
      <c r="KN14" s="191"/>
      <c r="KO14" s="191"/>
      <c r="KP14" s="82"/>
      <c r="KQ14" s="82"/>
      <c r="KR14" s="82"/>
      <c r="KS14" s="83"/>
      <c r="KT14" s="81"/>
      <c r="KU14" s="82"/>
      <c r="KV14" s="82"/>
      <c r="KW14" s="82"/>
      <c r="KX14" s="191" t="s">
        <v>29</v>
      </c>
      <c r="KY14" s="191"/>
      <c r="KZ14" s="191"/>
      <c r="LA14" s="191"/>
      <c r="LB14" s="82"/>
      <c r="LC14" s="82"/>
      <c r="LD14" s="192" t="s">
        <v>20</v>
      </c>
      <c r="LE14" s="192"/>
      <c r="LF14" s="192"/>
      <c r="LG14" s="192"/>
      <c r="LH14" s="102"/>
      <c r="LI14" s="102"/>
      <c r="LJ14" s="191" t="s">
        <v>30</v>
      </c>
      <c r="LK14" s="191"/>
      <c r="LL14" s="191"/>
      <c r="LM14" s="191"/>
      <c r="LN14" s="82"/>
      <c r="LO14" s="82"/>
      <c r="LP14" s="192" t="s">
        <v>21</v>
      </c>
      <c r="LQ14" s="192"/>
      <c r="LR14" s="192"/>
      <c r="LS14" s="192"/>
      <c r="LT14" s="102"/>
      <c r="LU14" s="102"/>
      <c r="LV14" s="191" t="s">
        <v>31</v>
      </c>
      <c r="LW14" s="191"/>
      <c r="LX14" s="191"/>
      <c r="LY14" s="191"/>
      <c r="LZ14" s="82"/>
      <c r="MA14" s="82"/>
      <c r="MB14" s="192" t="s">
        <v>22</v>
      </c>
      <c r="MC14" s="192"/>
      <c r="MD14" s="192"/>
      <c r="ME14" s="192"/>
      <c r="MF14" s="102"/>
      <c r="MG14" s="102"/>
      <c r="MH14" s="191" t="s">
        <v>32</v>
      </c>
      <c r="MI14" s="191"/>
      <c r="MJ14" s="191"/>
      <c r="MK14" s="191"/>
      <c r="ML14" s="82"/>
      <c r="MM14" s="82"/>
      <c r="MN14" s="192" t="s">
        <v>23</v>
      </c>
      <c r="MO14" s="192"/>
      <c r="MP14" s="192"/>
      <c r="MQ14" s="192"/>
      <c r="MR14" s="102"/>
      <c r="MS14" s="102"/>
      <c r="MT14" s="191" t="s">
        <v>33</v>
      </c>
      <c r="MU14" s="191"/>
      <c r="MV14" s="191"/>
      <c r="MW14" s="191"/>
      <c r="MX14" s="82"/>
      <c r="MY14" s="82"/>
      <c r="MZ14" s="82"/>
      <c r="NA14" s="83"/>
      <c r="NB14" s="81"/>
      <c r="NC14" s="82"/>
      <c r="ND14" s="82"/>
      <c r="NE14" s="82"/>
      <c r="NF14" s="191" t="s">
        <v>29</v>
      </c>
      <c r="NG14" s="191"/>
      <c r="NH14" s="191"/>
      <c r="NI14" s="191"/>
      <c r="NJ14" s="82"/>
      <c r="NK14" s="82"/>
      <c r="NL14" s="192" t="s">
        <v>20</v>
      </c>
      <c r="NM14" s="192"/>
      <c r="NN14" s="192"/>
      <c r="NO14" s="192"/>
      <c r="NP14" s="102"/>
      <c r="NQ14" s="102"/>
      <c r="NR14" s="191" t="s">
        <v>30</v>
      </c>
      <c r="NS14" s="191"/>
      <c r="NT14" s="191"/>
      <c r="NU14" s="191"/>
      <c r="NV14" s="82"/>
      <c r="NW14" s="82"/>
      <c r="NX14" s="192" t="s">
        <v>21</v>
      </c>
      <c r="NY14" s="192"/>
      <c r="NZ14" s="192"/>
      <c r="OA14" s="192"/>
      <c r="OB14" s="102"/>
      <c r="OC14" s="102"/>
      <c r="OD14" s="191" t="s">
        <v>31</v>
      </c>
      <c r="OE14" s="191"/>
      <c r="OF14" s="191"/>
      <c r="OG14" s="191"/>
      <c r="OH14" s="82"/>
      <c r="OI14" s="82"/>
      <c r="OJ14" s="192" t="s">
        <v>22</v>
      </c>
      <c r="OK14" s="192"/>
      <c r="OL14" s="192"/>
      <c r="OM14" s="192"/>
      <c r="ON14" s="102"/>
      <c r="OO14" s="102"/>
      <c r="OP14" s="191" t="s">
        <v>32</v>
      </c>
      <c r="OQ14" s="191"/>
      <c r="OR14" s="191"/>
      <c r="OS14" s="191"/>
      <c r="OT14" s="82"/>
      <c r="OU14" s="82"/>
      <c r="OV14" s="192" t="s">
        <v>23</v>
      </c>
      <c r="OW14" s="192"/>
      <c r="OX14" s="192"/>
      <c r="OY14" s="192"/>
      <c r="OZ14" s="102"/>
      <c r="PA14" s="102"/>
      <c r="PB14" s="191" t="s">
        <v>33</v>
      </c>
      <c r="PC14" s="191"/>
      <c r="PD14" s="191"/>
      <c r="PE14" s="191"/>
      <c r="PF14" s="82"/>
      <c r="PG14" s="82"/>
      <c r="PH14" s="82"/>
      <c r="PI14" s="83"/>
      <c r="PJ14" s="81"/>
      <c r="PK14" s="82"/>
      <c r="PL14" s="82"/>
      <c r="PM14" s="82"/>
      <c r="PN14" s="191" t="s">
        <v>29</v>
      </c>
      <c r="PO14" s="191"/>
      <c r="PP14" s="191"/>
      <c r="PQ14" s="191"/>
      <c r="PR14" s="82"/>
      <c r="PS14" s="82"/>
      <c r="PT14" s="192" t="s">
        <v>20</v>
      </c>
      <c r="PU14" s="192"/>
      <c r="PV14" s="192"/>
      <c r="PW14" s="192"/>
      <c r="PX14" s="102"/>
      <c r="PY14" s="102"/>
      <c r="PZ14" s="191" t="s">
        <v>30</v>
      </c>
      <c r="QA14" s="191"/>
      <c r="QB14" s="191"/>
      <c r="QC14" s="191"/>
      <c r="QD14" s="82"/>
      <c r="QE14" s="82"/>
      <c r="QF14" s="192" t="s">
        <v>21</v>
      </c>
      <c r="QG14" s="192"/>
      <c r="QH14" s="192"/>
      <c r="QI14" s="192"/>
      <c r="QJ14" s="102"/>
      <c r="QK14" s="102"/>
      <c r="QL14" s="191" t="s">
        <v>31</v>
      </c>
      <c r="QM14" s="191"/>
      <c r="QN14" s="191"/>
      <c r="QO14" s="191"/>
      <c r="QP14" s="82"/>
      <c r="QQ14" s="82"/>
      <c r="QR14" s="192" t="s">
        <v>22</v>
      </c>
      <c r="QS14" s="192"/>
      <c r="QT14" s="192"/>
      <c r="QU14" s="192"/>
      <c r="QV14" s="102"/>
      <c r="QW14" s="102"/>
      <c r="QX14" s="191" t="s">
        <v>32</v>
      </c>
      <c r="QY14" s="191"/>
      <c r="QZ14" s="191"/>
      <c r="RA14" s="191"/>
      <c r="RB14" s="82"/>
      <c r="RC14" s="82"/>
      <c r="RD14" s="192" t="s">
        <v>23</v>
      </c>
      <c r="RE14" s="192"/>
      <c r="RF14" s="192"/>
      <c r="RG14" s="192"/>
      <c r="RH14" s="102"/>
      <c r="RI14" s="102"/>
      <c r="RJ14" s="191" t="s">
        <v>33</v>
      </c>
      <c r="RK14" s="191"/>
      <c r="RL14" s="191"/>
      <c r="RM14" s="191"/>
      <c r="RN14" s="82"/>
      <c r="RO14" s="82"/>
      <c r="RP14" s="82"/>
      <c r="RQ14" s="83"/>
      <c r="RR14" s="81"/>
      <c r="RS14" s="82"/>
      <c r="RT14" s="82"/>
      <c r="RU14" s="82"/>
      <c r="RV14" s="191" t="s">
        <v>29</v>
      </c>
      <c r="RW14" s="191"/>
      <c r="RX14" s="191"/>
      <c r="RY14" s="191"/>
      <c r="RZ14" s="82"/>
      <c r="SA14" s="82"/>
      <c r="SB14" s="192" t="s">
        <v>20</v>
      </c>
      <c r="SC14" s="192"/>
      <c r="SD14" s="192"/>
      <c r="SE14" s="192"/>
      <c r="SF14" s="102"/>
      <c r="SG14" s="102"/>
      <c r="SH14" s="191" t="s">
        <v>30</v>
      </c>
      <c r="SI14" s="191"/>
      <c r="SJ14" s="191"/>
      <c r="SK14" s="191"/>
      <c r="SL14" s="82"/>
      <c r="SM14" s="82"/>
      <c r="SN14" s="192" t="s">
        <v>21</v>
      </c>
      <c r="SO14" s="192"/>
      <c r="SP14" s="192"/>
      <c r="SQ14" s="192"/>
      <c r="SR14" s="102"/>
      <c r="SS14" s="102"/>
      <c r="ST14" s="191" t="s">
        <v>31</v>
      </c>
      <c r="SU14" s="191"/>
      <c r="SV14" s="191"/>
      <c r="SW14" s="191"/>
      <c r="SX14" s="82"/>
      <c r="SY14" s="82"/>
      <c r="SZ14" s="192" t="s">
        <v>22</v>
      </c>
      <c r="TA14" s="192"/>
      <c r="TB14" s="192"/>
      <c r="TC14" s="192"/>
      <c r="TD14" s="102"/>
      <c r="TE14" s="102"/>
      <c r="TF14" s="191" t="s">
        <v>32</v>
      </c>
      <c r="TG14" s="191"/>
      <c r="TH14" s="191"/>
      <c r="TI14" s="191"/>
      <c r="TJ14" s="82"/>
      <c r="TK14" s="82"/>
      <c r="TL14" s="192" t="s">
        <v>23</v>
      </c>
      <c r="TM14" s="192"/>
      <c r="TN14" s="192"/>
      <c r="TO14" s="192"/>
      <c r="TP14" s="102"/>
      <c r="TQ14" s="102"/>
      <c r="TR14" s="191" t="s">
        <v>33</v>
      </c>
      <c r="TS14" s="191"/>
      <c r="TT14" s="191"/>
      <c r="TU14" s="191"/>
      <c r="TV14" s="82"/>
      <c r="TW14" s="82"/>
      <c r="TX14" s="82"/>
      <c r="TY14" s="83"/>
      <c r="TZ14" s="81"/>
      <c r="UA14" s="82"/>
      <c r="UB14" s="82"/>
      <c r="UC14" s="82"/>
      <c r="UD14" s="191" t="s">
        <v>29</v>
      </c>
      <c r="UE14" s="191"/>
      <c r="UF14" s="191"/>
      <c r="UG14" s="191"/>
      <c r="UH14" s="82"/>
      <c r="UI14" s="82"/>
      <c r="UJ14" s="192" t="s">
        <v>20</v>
      </c>
      <c r="UK14" s="192"/>
      <c r="UL14" s="192"/>
      <c r="UM14" s="192"/>
      <c r="UN14" s="102"/>
      <c r="UO14" s="102"/>
      <c r="UP14" s="191" t="s">
        <v>30</v>
      </c>
      <c r="UQ14" s="191"/>
      <c r="UR14" s="191"/>
      <c r="US14" s="191"/>
      <c r="UT14" s="82"/>
      <c r="UU14" s="82"/>
      <c r="UV14" s="192" t="s">
        <v>21</v>
      </c>
      <c r="UW14" s="192"/>
      <c r="UX14" s="192"/>
      <c r="UY14" s="192"/>
      <c r="UZ14" s="102"/>
      <c r="VA14" s="102"/>
      <c r="VB14" s="191" t="s">
        <v>31</v>
      </c>
      <c r="VC14" s="191"/>
      <c r="VD14" s="191"/>
      <c r="VE14" s="191"/>
      <c r="VF14" s="82"/>
      <c r="VG14" s="82"/>
      <c r="VH14" s="192" t="s">
        <v>22</v>
      </c>
      <c r="VI14" s="192"/>
      <c r="VJ14" s="192"/>
      <c r="VK14" s="192"/>
      <c r="VL14" s="102"/>
      <c r="VM14" s="102"/>
      <c r="VN14" s="191" t="s">
        <v>32</v>
      </c>
      <c r="VO14" s="191"/>
      <c r="VP14" s="191"/>
      <c r="VQ14" s="191"/>
      <c r="VR14" s="82"/>
      <c r="VS14" s="82"/>
      <c r="VT14" s="192" t="s">
        <v>23</v>
      </c>
      <c r="VU14" s="192"/>
      <c r="VV14" s="192"/>
      <c r="VW14" s="192"/>
      <c r="VX14" s="102"/>
      <c r="VY14" s="102"/>
      <c r="VZ14" s="191" t="s">
        <v>33</v>
      </c>
      <c r="WA14" s="191"/>
      <c r="WB14" s="191"/>
      <c r="WC14" s="191"/>
      <c r="WD14" s="82"/>
      <c r="WE14" s="82"/>
      <c r="WF14" s="82"/>
      <c r="WG14" s="83"/>
      <c r="WH14" s="81"/>
      <c r="WI14" s="82"/>
      <c r="WJ14" s="82"/>
      <c r="WK14" s="82"/>
      <c r="WL14" s="191" t="s">
        <v>29</v>
      </c>
      <c r="WM14" s="191"/>
      <c r="WN14" s="191"/>
      <c r="WO14" s="191"/>
      <c r="WP14" s="82"/>
      <c r="WQ14" s="82"/>
      <c r="WR14" s="192" t="s">
        <v>20</v>
      </c>
      <c r="WS14" s="192"/>
      <c r="WT14" s="192"/>
      <c r="WU14" s="192"/>
      <c r="WV14" s="102"/>
      <c r="WW14" s="102"/>
      <c r="WX14" s="191" t="s">
        <v>30</v>
      </c>
      <c r="WY14" s="191"/>
      <c r="WZ14" s="191"/>
      <c r="XA14" s="191"/>
      <c r="XB14" s="82"/>
      <c r="XC14" s="82"/>
      <c r="XD14" s="192" t="s">
        <v>21</v>
      </c>
      <c r="XE14" s="192"/>
      <c r="XF14" s="192"/>
      <c r="XG14" s="192"/>
      <c r="XH14" s="102"/>
      <c r="XI14" s="102"/>
      <c r="XJ14" s="191" t="s">
        <v>31</v>
      </c>
      <c r="XK14" s="191"/>
      <c r="XL14" s="191"/>
      <c r="XM14" s="191"/>
      <c r="XN14" s="82"/>
      <c r="XO14" s="82"/>
      <c r="XP14" s="192" t="s">
        <v>22</v>
      </c>
      <c r="XQ14" s="192"/>
      <c r="XR14" s="192"/>
      <c r="XS14" s="192"/>
      <c r="XT14" s="102"/>
      <c r="XU14" s="102"/>
      <c r="XV14" s="191" t="s">
        <v>32</v>
      </c>
      <c r="XW14" s="191"/>
      <c r="XX14" s="191"/>
      <c r="XY14" s="191"/>
      <c r="XZ14" s="82"/>
      <c r="YA14" s="82"/>
      <c r="YB14" s="192" t="s">
        <v>23</v>
      </c>
      <c r="YC14" s="192"/>
      <c r="YD14" s="192"/>
      <c r="YE14" s="192"/>
      <c r="YF14" s="102"/>
      <c r="YG14" s="102"/>
      <c r="YH14" s="191" t="s">
        <v>33</v>
      </c>
      <c r="YI14" s="191"/>
      <c r="YJ14" s="191"/>
      <c r="YK14" s="191"/>
      <c r="YL14" s="82"/>
      <c r="YM14" s="82"/>
      <c r="YN14" s="82"/>
      <c r="YO14" s="83"/>
      <c r="YP14" s="81"/>
      <c r="YQ14" s="82"/>
      <c r="YR14" s="82"/>
      <c r="YS14" s="82"/>
      <c r="YT14" s="191" t="s">
        <v>29</v>
      </c>
      <c r="YU14" s="191"/>
      <c r="YV14" s="191"/>
      <c r="YW14" s="191"/>
      <c r="YX14" s="82"/>
      <c r="YY14" s="82"/>
      <c r="YZ14" s="192" t="s">
        <v>20</v>
      </c>
      <c r="ZA14" s="192"/>
      <c r="ZB14" s="192"/>
      <c r="ZC14" s="192"/>
      <c r="ZD14" s="102"/>
      <c r="ZE14" s="102"/>
      <c r="ZF14" s="191" t="s">
        <v>30</v>
      </c>
      <c r="ZG14" s="191"/>
      <c r="ZH14" s="191"/>
      <c r="ZI14" s="191"/>
      <c r="ZJ14" s="82"/>
      <c r="ZK14" s="82"/>
      <c r="ZL14" s="192" t="s">
        <v>21</v>
      </c>
      <c r="ZM14" s="192"/>
      <c r="ZN14" s="192"/>
      <c r="ZO14" s="192"/>
      <c r="ZP14" s="102"/>
      <c r="ZQ14" s="102"/>
      <c r="ZR14" s="191" t="s">
        <v>31</v>
      </c>
      <c r="ZS14" s="191"/>
      <c r="ZT14" s="191"/>
      <c r="ZU14" s="191"/>
      <c r="ZV14" s="82"/>
      <c r="ZW14" s="82"/>
      <c r="ZX14" s="192" t="s">
        <v>22</v>
      </c>
      <c r="ZY14" s="192"/>
      <c r="ZZ14" s="192"/>
      <c r="AAA14" s="192"/>
      <c r="AAB14" s="102"/>
      <c r="AAC14" s="102"/>
      <c r="AAD14" s="191" t="s">
        <v>32</v>
      </c>
      <c r="AAE14" s="191"/>
      <c r="AAF14" s="191"/>
      <c r="AAG14" s="191"/>
      <c r="AAH14" s="82"/>
      <c r="AAI14" s="82"/>
      <c r="AAJ14" s="192" t="s">
        <v>23</v>
      </c>
      <c r="AAK14" s="192"/>
      <c r="AAL14" s="192"/>
      <c r="AAM14" s="192"/>
      <c r="AAN14" s="102"/>
      <c r="AAO14" s="102"/>
      <c r="AAP14" s="191" t="s">
        <v>33</v>
      </c>
      <c r="AAQ14" s="191"/>
      <c r="AAR14" s="191"/>
      <c r="AAS14" s="191"/>
      <c r="AAT14" s="82"/>
      <c r="AAU14" s="82"/>
      <c r="AAV14" s="82"/>
      <c r="AAW14" s="83"/>
      <c r="AAX14" s="81"/>
      <c r="AAY14" s="82"/>
      <c r="AAZ14" s="82"/>
      <c r="ABA14" s="82"/>
      <c r="ABB14" s="191" t="s">
        <v>29</v>
      </c>
      <c r="ABC14" s="191"/>
      <c r="ABD14" s="191"/>
      <c r="ABE14" s="191"/>
      <c r="ABF14" s="82"/>
      <c r="ABG14" s="82"/>
      <c r="ABH14" s="192" t="s">
        <v>20</v>
      </c>
      <c r="ABI14" s="192"/>
      <c r="ABJ14" s="192"/>
      <c r="ABK14" s="192"/>
      <c r="ABL14" s="102"/>
      <c r="ABM14" s="102"/>
      <c r="ABN14" s="191" t="s">
        <v>30</v>
      </c>
      <c r="ABO14" s="191"/>
      <c r="ABP14" s="191"/>
      <c r="ABQ14" s="191"/>
      <c r="ABR14" s="82"/>
      <c r="ABS14" s="82"/>
      <c r="ABT14" s="192" t="s">
        <v>21</v>
      </c>
      <c r="ABU14" s="192"/>
      <c r="ABV14" s="192"/>
      <c r="ABW14" s="192"/>
      <c r="ABX14" s="102"/>
      <c r="ABY14" s="102"/>
      <c r="ABZ14" s="191" t="s">
        <v>31</v>
      </c>
      <c r="ACA14" s="191"/>
      <c r="ACB14" s="191"/>
      <c r="ACC14" s="191"/>
      <c r="ACD14" s="82"/>
      <c r="ACE14" s="82"/>
      <c r="ACF14" s="192" t="s">
        <v>22</v>
      </c>
      <c r="ACG14" s="192"/>
      <c r="ACH14" s="192"/>
      <c r="ACI14" s="192"/>
      <c r="ACJ14" s="102"/>
      <c r="ACK14" s="102"/>
      <c r="ACL14" s="191" t="s">
        <v>32</v>
      </c>
      <c r="ACM14" s="191"/>
      <c r="ACN14" s="191"/>
      <c r="ACO14" s="191"/>
      <c r="ACP14" s="82"/>
      <c r="ACQ14" s="82"/>
      <c r="ACR14" s="192" t="s">
        <v>23</v>
      </c>
      <c r="ACS14" s="192"/>
      <c r="ACT14" s="192"/>
      <c r="ACU14" s="192"/>
      <c r="ACV14" s="102"/>
      <c r="ACW14" s="102"/>
      <c r="ACX14" s="191" t="s">
        <v>33</v>
      </c>
      <c r="ACY14" s="191"/>
      <c r="ACZ14" s="191"/>
      <c r="ADA14" s="191"/>
      <c r="ADB14" s="82"/>
      <c r="ADC14" s="82"/>
      <c r="ADD14" s="82"/>
      <c r="ADE14" s="83"/>
      <c r="ADF14" s="81"/>
      <c r="ADG14" s="82"/>
      <c r="ADH14" s="82"/>
      <c r="ADI14" s="82"/>
      <c r="ADJ14" s="191" t="s">
        <v>29</v>
      </c>
      <c r="ADK14" s="191"/>
      <c r="ADL14" s="191"/>
      <c r="ADM14" s="191"/>
      <c r="ADN14" s="82"/>
      <c r="ADO14" s="82"/>
      <c r="ADP14" s="192" t="s">
        <v>20</v>
      </c>
      <c r="ADQ14" s="192"/>
      <c r="ADR14" s="192"/>
      <c r="ADS14" s="192"/>
      <c r="ADT14" s="102"/>
      <c r="ADU14" s="102"/>
      <c r="ADV14" s="191" t="s">
        <v>30</v>
      </c>
      <c r="ADW14" s="191"/>
      <c r="ADX14" s="191"/>
      <c r="ADY14" s="191"/>
      <c r="ADZ14" s="82"/>
      <c r="AEA14" s="82"/>
      <c r="AEB14" s="192" t="s">
        <v>21</v>
      </c>
      <c r="AEC14" s="192"/>
      <c r="AED14" s="192"/>
      <c r="AEE14" s="192"/>
      <c r="AEF14" s="102"/>
      <c r="AEG14" s="102"/>
      <c r="AEH14" s="191" t="s">
        <v>31</v>
      </c>
      <c r="AEI14" s="191"/>
      <c r="AEJ14" s="191"/>
      <c r="AEK14" s="191"/>
      <c r="AEL14" s="82"/>
      <c r="AEM14" s="82"/>
      <c r="AEN14" s="192" t="s">
        <v>22</v>
      </c>
      <c r="AEO14" s="192"/>
      <c r="AEP14" s="192"/>
      <c r="AEQ14" s="192"/>
      <c r="AER14" s="102"/>
      <c r="AES14" s="102"/>
      <c r="AET14" s="191" t="s">
        <v>32</v>
      </c>
      <c r="AEU14" s="191"/>
      <c r="AEV14" s="191"/>
      <c r="AEW14" s="191"/>
      <c r="AEX14" s="82"/>
      <c r="AEY14" s="82"/>
      <c r="AEZ14" s="192" t="s">
        <v>23</v>
      </c>
      <c r="AFA14" s="192"/>
      <c r="AFB14" s="192"/>
      <c r="AFC14" s="192"/>
      <c r="AFD14" s="102"/>
      <c r="AFE14" s="102"/>
      <c r="AFF14" s="191" t="s">
        <v>33</v>
      </c>
      <c r="AFG14" s="191"/>
      <c r="AFH14" s="191"/>
      <c r="AFI14" s="191"/>
      <c r="AFJ14" s="82"/>
      <c r="AFK14" s="82"/>
      <c r="AFL14" s="82"/>
      <c r="AFM14" s="83"/>
      <c r="AFN14" s="81"/>
      <c r="AFO14" s="82"/>
      <c r="AFP14" s="82"/>
      <c r="AFQ14" s="82"/>
      <c r="AFR14" s="191" t="s">
        <v>29</v>
      </c>
      <c r="AFS14" s="191"/>
      <c r="AFT14" s="191"/>
      <c r="AFU14" s="191"/>
      <c r="AFV14" s="82"/>
      <c r="AFW14" s="82"/>
      <c r="AFX14" s="192" t="s">
        <v>20</v>
      </c>
      <c r="AFY14" s="192"/>
      <c r="AFZ14" s="192"/>
      <c r="AGA14" s="192"/>
      <c r="AGB14" s="102"/>
      <c r="AGC14" s="102"/>
      <c r="AGD14" s="191" t="s">
        <v>30</v>
      </c>
      <c r="AGE14" s="191"/>
      <c r="AGF14" s="191"/>
      <c r="AGG14" s="191"/>
      <c r="AGH14" s="82"/>
      <c r="AGI14" s="82"/>
      <c r="AGJ14" s="192" t="s">
        <v>21</v>
      </c>
      <c r="AGK14" s="192"/>
      <c r="AGL14" s="192"/>
      <c r="AGM14" s="192"/>
      <c r="AGN14" s="102"/>
      <c r="AGO14" s="102"/>
      <c r="AGP14" s="191" t="s">
        <v>31</v>
      </c>
      <c r="AGQ14" s="191"/>
      <c r="AGR14" s="191"/>
      <c r="AGS14" s="191"/>
      <c r="AGT14" s="82"/>
      <c r="AGU14" s="82"/>
      <c r="AGV14" s="192" t="s">
        <v>22</v>
      </c>
      <c r="AGW14" s="192"/>
      <c r="AGX14" s="192"/>
      <c r="AGY14" s="192"/>
      <c r="AGZ14" s="102"/>
      <c r="AHA14" s="102"/>
      <c r="AHB14" s="191" t="s">
        <v>32</v>
      </c>
      <c r="AHC14" s="191"/>
      <c r="AHD14" s="191"/>
      <c r="AHE14" s="191"/>
      <c r="AHF14" s="82"/>
      <c r="AHG14" s="82"/>
      <c r="AHH14" s="192" t="s">
        <v>23</v>
      </c>
      <c r="AHI14" s="192"/>
      <c r="AHJ14" s="192"/>
      <c r="AHK14" s="192"/>
      <c r="AHL14" s="102"/>
      <c r="AHM14" s="102"/>
      <c r="AHN14" s="191" t="s">
        <v>33</v>
      </c>
      <c r="AHO14" s="191"/>
      <c r="AHP14" s="191"/>
      <c r="AHQ14" s="191"/>
      <c r="AHR14" s="82"/>
      <c r="AHS14" s="82"/>
      <c r="AHT14" s="82"/>
      <c r="AHU14" s="83"/>
      <c r="AHV14" s="81"/>
      <c r="AHW14" s="82"/>
      <c r="AHX14" s="82"/>
      <c r="AHY14" s="82"/>
      <c r="AHZ14" s="191" t="s">
        <v>29</v>
      </c>
      <c r="AIA14" s="191"/>
      <c r="AIB14" s="191"/>
      <c r="AIC14" s="191"/>
      <c r="AID14" s="82"/>
      <c r="AIE14" s="82"/>
      <c r="AIF14" s="192" t="s">
        <v>20</v>
      </c>
      <c r="AIG14" s="192"/>
      <c r="AIH14" s="192"/>
      <c r="AII14" s="192"/>
      <c r="AIJ14" s="102"/>
      <c r="AIK14" s="102"/>
      <c r="AIL14" s="191" t="s">
        <v>30</v>
      </c>
      <c r="AIM14" s="191"/>
      <c r="AIN14" s="191"/>
      <c r="AIO14" s="191"/>
      <c r="AIP14" s="82"/>
      <c r="AIQ14" s="82"/>
      <c r="AIR14" s="192" t="s">
        <v>21</v>
      </c>
      <c r="AIS14" s="192"/>
      <c r="AIT14" s="192"/>
      <c r="AIU14" s="192"/>
      <c r="AIV14" s="102"/>
      <c r="AIW14" s="102"/>
      <c r="AIX14" s="191" t="s">
        <v>31</v>
      </c>
      <c r="AIY14" s="191"/>
      <c r="AIZ14" s="191"/>
      <c r="AJA14" s="191"/>
      <c r="AJB14" s="82"/>
      <c r="AJC14" s="82"/>
      <c r="AJD14" s="192" t="s">
        <v>22</v>
      </c>
      <c r="AJE14" s="192"/>
      <c r="AJF14" s="192"/>
      <c r="AJG14" s="192"/>
      <c r="AJH14" s="102"/>
      <c r="AJI14" s="102"/>
      <c r="AJJ14" s="191" t="s">
        <v>32</v>
      </c>
      <c r="AJK14" s="191"/>
      <c r="AJL14" s="191"/>
      <c r="AJM14" s="191"/>
      <c r="AJN14" s="82"/>
      <c r="AJO14" s="82"/>
      <c r="AJP14" s="192" t="s">
        <v>23</v>
      </c>
      <c r="AJQ14" s="192"/>
      <c r="AJR14" s="192"/>
      <c r="AJS14" s="192"/>
      <c r="AJT14" s="102"/>
      <c r="AJU14" s="102"/>
      <c r="AJV14" s="191" t="s">
        <v>33</v>
      </c>
      <c r="AJW14" s="191"/>
      <c r="AJX14" s="191"/>
      <c r="AJY14" s="191"/>
      <c r="AJZ14" s="82"/>
      <c r="AKA14" s="82"/>
      <c r="AKB14" s="82"/>
      <c r="AKC14" s="83"/>
      <c r="AKD14" s="81"/>
      <c r="AKE14" s="82"/>
      <c r="AKF14" s="82"/>
      <c r="AKG14" s="82"/>
      <c r="AKH14" s="191" t="s">
        <v>29</v>
      </c>
      <c r="AKI14" s="191"/>
      <c r="AKJ14" s="191"/>
      <c r="AKK14" s="191"/>
      <c r="AKL14" s="82"/>
      <c r="AKM14" s="82"/>
      <c r="AKN14" s="192" t="s">
        <v>20</v>
      </c>
      <c r="AKO14" s="192"/>
      <c r="AKP14" s="192"/>
      <c r="AKQ14" s="192"/>
      <c r="AKR14" s="102"/>
      <c r="AKS14" s="102"/>
      <c r="AKT14" s="191" t="s">
        <v>30</v>
      </c>
      <c r="AKU14" s="191"/>
      <c r="AKV14" s="191"/>
      <c r="AKW14" s="191"/>
      <c r="AKX14" s="82"/>
      <c r="AKY14" s="82"/>
      <c r="AKZ14" s="192" t="s">
        <v>21</v>
      </c>
      <c r="ALA14" s="192"/>
      <c r="ALB14" s="192"/>
      <c r="ALC14" s="192"/>
      <c r="ALD14" s="102"/>
      <c r="ALE14" s="102"/>
      <c r="ALF14" s="191" t="s">
        <v>31</v>
      </c>
      <c r="ALG14" s="191"/>
      <c r="ALH14" s="191"/>
      <c r="ALI14" s="191"/>
      <c r="ALJ14" s="82"/>
      <c r="ALK14" s="82"/>
      <c r="ALL14" s="192" t="s">
        <v>22</v>
      </c>
      <c r="ALM14" s="192"/>
      <c r="ALN14" s="192"/>
      <c r="ALO14" s="192"/>
      <c r="ALP14" s="102"/>
      <c r="ALQ14" s="102"/>
      <c r="ALR14" s="191" t="s">
        <v>32</v>
      </c>
      <c r="ALS14" s="191"/>
      <c r="ALT14" s="191"/>
      <c r="ALU14" s="191"/>
      <c r="ALV14" s="82"/>
      <c r="ALW14" s="82"/>
      <c r="ALX14" s="192" t="s">
        <v>23</v>
      </c>
      <c r="ALY14" s="192"/>
      <c r="ALZ14" s="192"/>
      <c r="AMA14" s="192"/>
      <c r="AMB14" s="102"/>
      <c r="AMC14" s="102"/>
      <c r="AMD14" s="191" t="s">
        <v>33</v>
      </c>
      <c r="AME14" s="191"/>
      <c r="AMF14" s="191"/>
      <c r="AMG14" s="191"/>
      <c r="AMH14" s="82"/>
      <c r="AMI14" s="82"/>
      <c r="AMJ14" s="82"/>
      <c r="AMK14" s="83"/>
      <c r="AML14" s="81"/>
      <c r="AMM14" s="82"/>
      <c r="AMN14" s="82"/>
      <c r="AMO14" s="82"/>
      <c r="AMP14" s="191" t="s">
        <v>29</v>
      </c>
      <c r="AMQ14" s="191"/>
      <c r="AMR14" s="191"/>
      <c r="AMS14" s="191"/>
      <c r="AMT14" s="82"/>
      <c r="AMU14" s="82"/>
      <c r="AMV14" s="192" t="s">
        <v>20</v>
      </c>
      <c r="AMW14" s="192"/>
      <c r="AMX14" s="192"/>
      <c r="AMY14" s="192"/>
      <c r="AMZ14" s="102"/>
      <c r="ANA14" s="102"/>
      <c r="ANB14" s="191" t="s">
        <v>30</v>
      </c>
      <c r="ANC14" s="191"/>
      <c r="AND14" s="191"/>
      <c r="ANE14" s="191"/>
      <c r="ANF14" s="82"/>
      <c r="ANG14" s="82"/>
      <c r="ANH14" s="192" t="s">
        <v>21</v>
      </c>
      <c r="ANI14" s="192"/>
      <c r="ANJ14" s="192"/>
      <c r="ANK14" s="192"/>
      <c r="ANL14" s="102"/>
      <c r="ANM14" s="102"/>
      <c r="ANN14" s="191" t="s">
        <v>31</v>
      </c>
      <c r="ANO14" s="191"/>
      <c r="ANP14" s="191"/>
      <c r="ANQ14" s="191"/>
      <c r="ANR14" s="82"/>
      <c r="ANS14" s="82"/>
      <c r="ANT14" s="192" t="s">
        <v>22</v>
      </c>
      <c r="ANU14" s="192"/>
      <c r="ANV14" s="192"/>
      <c r="ANW14" s="192"/>
      <c r="ANX14" s="102"/>
      <c r="ANY14" s="102"/>
      <c r="ANZ14" s="191" t="s">
        <v>32</v>
      </c>
      <c r="AOA14" s="191"/>
      <c r="AOB14" s="191"/>
      <c r="AOC14" s="191"/>
      <c r="AOD14" s="82"/>
      <c r="AOE14" s="82"/>
      <c r="AOF14" s="192" t="s">
        <v>23</v>
      </c>
      <c r="AOG14" s="192"/>
      <c r="AOH14" s="192"/>
      <c r="AOI14" s="192"/>
      <c r="AOJ14" s="102"/>
      <c r="AOK14" s="102"/>
      <c r="AOL14" s="191" t="s">
        <v>33</v>
      </c>
      <c r="AOM14" s="191"/>
      <c r="AON14" s="191"/>
      <c r="AOO14" s="191"/>
      <c r="AOP14" s="82"/>
      <c r="AOQ14" s="82"/>
      <c r="AOR14" s="82"/>
      <c r="AOS14" s="83"/>
      <c r="AOT14" s="81"/>
      <c r="AOU14" s="82"/>
      <c r="AOV14" s="82"/>
      <c r="AOW14" s="82"/>
      <c r="AOX14" s="191" t="s">
        <v>29</v>
      </c>
      <c r="AOY14" s="191"/>
      <c r="AOZ14" s="191"/>
      <c r="APA14" s="191"/>
      <c r="APB14" s="82"/>
      <c r="APC14" s="82"/>
      <c r="APD14" s="192" t="s">
        <v>20</v>
      </c>
      <c r="APE14" s="192"/>
      <c r="APF14" s="192"/>
      <c r="APG14" s="192"/>
      <c r="APH14" s="102"/>
      <c r="API14" s="102"/>
      <c r="APJ14" s="191" t="s">
        <v>30</v>
      </c>
      <c r="APK14" s="191"/>
      <c r="APL14" s="191"/>
      <c r="APM14" s="191"/>
      <c r="APN14" s="82"/>
      <c r="APO14" s="82"/>
      <c r="APP14" s="192" t="s">
        <v>21</v>
      </c>
      <c r="APQ14" s="192"/>
      <c r="APR14" s="192"/>
      <c r="APS14" s="192"/>
      <c r="APT14" s="102"/>
      <c r="APU14" s="102"/>
      <c r="APV14" s="191" t="s">
        <v>31</v>
      </c>
      <c r="APW14" s="191"/>
      <c r="APX14" s="191"/>
      <c r="APY14" s="191"/>
      <c r="APZ14" s="82"/>
      <c r="AQA14" s="82"/>
      <c r="AQB14" s="192" t="s">
        <v>22</v>
      </c>
      <c r="AQC14" s="192"/>
      <c r="AQD14" s="192"/>
      <c r="AQE14" s="192"/>
      <c r="AQF14" s="102"/>
      <c r="AQG14" s="102"/>
      <c r="AQH14" s="191" t="s">
        <v>32</v>
      </c>
      <c r="AQI14" s="191"/>
      <c r="AQJ14" s="191"/>
      <c r="AQK14" s="191"/>
      <c r="AQL14" s="82"/>
      <c r="AQM14" s="82"/>
      <c r="AQN14" s="192" t="s">
        <v>23</v>
      </c>
      <c r="AQO14" s="192"/>
      <c r="AQP14" s="192"/>
      <c r="AQQ14" s="192"/>
      <c r="AQR14" s="102"/>
      <c r="AQS14" s="102"/>
      <c r="AQT14" s="191" t="s">
        <v>33</v>
      </c>
      <c r="AQU14" s="191"/>
      <c r="AQV14" s="191"/>
      <c r="AQW14" s="191"/>
      <c r="AQX14" s="82"/>
      <c r="AQY14" s="82"/>
      <c r="AQZ14" s="82"/>
      <c r="ARA14" s="83"/>
      <c r="ARB14" s="81"/>
      <c r="ARC14" s="82"/>
      <c r="ARD14" s="82"/>
      <c r="ARE14" s="82"/>
      <c r="ARF14" s="191" t="s">
        <v>29</v>
      </c>
      <c r="ARG14" s="191"/>
      <c r="ARH14" s="191"/>
      <c r="ARI14" s="191"/>
      <c r="ARJ14" s="82"/>
      <c r="ARK14" s="82"/>
      <c r="ARL14" s="192" t="s">
        <v>20</v>
      </c>
      <c r="ARM14" s="192"/>
      <c r="ARN14" s="192"/>
      <c r="ARO14" s="192"/>
      <c r="ARP14" s="102"/>
      <c r="ARQ14" s="102"/>
      <c r="ARR14" s="191" t="s">
        <v>30</v>
      </c>
      <c r="ARS14" s="191"/>
      <c r="ART14" s="191"/>
      <c r="ARU14" s="191"/>
      <c r="ARV14" s="82"/>
      <c r="ARW14" s="82"/>
      <c r="ARX14" s="192" t="s">
        <v>21</v>
      </c>
      <c r="ARY14" s="192"/>
      <c r="ARZ14" s="192"/>
      <c r="ASA14" s="192"/>
      <c r="ASB14" s="102"/>
      <c r="ASC14" s="102"/>
      <c r="ASD14" s="191" t="s">
        <v>31</v>
      </c>
      <c r="ASE14" s="191"/>
      <c r="ASF14" s="191"/>
      <c r="ASG14" s="191"/>
      <c r="ASH14" s="82"/>
      <c r="ASI14" s="82"/>
      <c r="ASJ14" s="192" t="s">
        <v>22</v>
      </c>
      <c r="ASK14" s="192"/>
      <c r="ASL14" s="192"/>
      <c r="ASM14" s="192"/>
      <c r="ASN14" s="102"/>
      <c r="ASO14" s="102"/>
      <c r="ASP14" s="191" t="s">
        <v>32</v>
      </c>
      <c r="ASQ14" s="191"/>
      <c r="ASR14" s="191"/>
      <c r="ASS14" s="191"/>
      <c r="AST14" s="82"/>
      <c r="ASU14" s="82"/>
      <c r="ASV14" s="192" t="s">
        <v>23</v>
      </c>
      <c r="ASW14" s="192"/>
      <c r="ASX14" s="192"/>
      <c r="ASY14" s="192"/>
      <c r="ASZ14" s="102"/>
      <c r="ATA14" s="102"/>
      <c r="ATB14" s="191" t="s">
        <v>33</v>
      </c>
      <c r="ATC14" s="191"/>
      <c r="ATD14" s="191"/>
      <c r="ATE14" s="191"/>
      <c r="ATF14" s="82"/>
      <c r="ATG14" s="82"/>
      <c r="ATH14" s="82"/>
      <c r="ATI14" s="83"/>
      <c r="ATJ14" s="81"/>
      <c r="ATK14" s="82"/>
      <c r="ATL14" s="82"/>
      <c r="ATM14" s="82"/>
      <c r="ATN14" s="191" t="s">
        <v>29</v>
      </c>
      <c r="ATO14" s="191"/>
      <c r="ATP14" s="191"/>
      <c r="ATQ14" s="191"/>
      <c r="ATR14" s="82"/>
      <c r="ATS14" s="82"/>
      <c r="ATT14" s="192" t="s">
        <v>20</v>
      </c>
      <c r="ATU14" s="192"/>
      <c r="ATV14" s="192"/>
      <c r="ATW14" s="192"/>
      <c r="ATX14" s="102"/>
      <c r="ATY14" s="102"/>
      <c r="ATZ14" s="191" t="s">
        <v>30</v>
      </c>
      <c r="AUA14" s="191"/>
      <c r="AUB14" s="191"/>
      <c r="AUC14" s="191"/>
      <c r="AUD14" s="82"/>
      <c r="AUE14" s="82"/>
      <c r="AUF14" s="192" t="s">
        <v>21</v>
      </c>
      <c r="AUG14" s="192"/>
      <c r="AUH14" s="192"/>
      <c r="AUI14" s="192"/>
      <c r="AUJ14" s="102"/>
      <c r="AUK14" s="102"/>
      <c r="AUL14" s="191" t="s">
        <v>31</v>
      </c>
      <c r="AUM14" s="191"/>
      <c r="AUN14" s="191"/>
      <c r="AUO14" s="191"/>
      <c r="AUP14" s="82"/>
      <c r="AUQ14" s="82"/>
      <c r="AUR14" s="192" t="s">
        <v>22</v>
      </c>
      <c r="AUS14" s="192"/>
      <c r="AUT14" s="192"/>
      <c r="AUU14" s="192"/>
      <c r="AUV14" s="102"/>
      <c r="AUW14" s="102"/>
      <c r="AUX14" s="191" t="s">
        <v>32</v>
      </c>
      <c r="AUY14" s="191"/>
      <c r="AUZ14" s="191"/>
      <c r="AVA14" s="191"/>
      <c r="AVB14" s="82"/>
      <c r="AVC14" s="82"/>
      <c r="AVD14" s="192" t="s">
        <v>23</v>
      </c>
      <c r="AVE14" s="192"/>
      <c r="AVF14" s="192"/>
      <c r="AVG14" s="192"/>
      <c r="AVH14" s="102"/>
      <c r="AVI14" s="102"/>
      <c r="AVJ14" s="191" t="s">
        <v>33</v>
      </c>
      <c r="AVK14" s="191"/>
      <c r="AVL14" s="191"/>
      <c r="AVM14" s="191"/>
      <c r="AVN14" s="82"/>
      <c r="AVO14" s="82"/>
      <c r="AVP14" s="82"/>
      <c r="AVQ14" s="83"/>
      <c r="AVR14" s="81"/>
      <c r="AVS14" s="82"/>
      <c r="AVT14" s="82"/>
      <c r="AVU14" s="82"/>
      <c r="AVV14" s="191" t="s">
        <v>29</v>
      </c>
      <c r="AVW14" s="191"/>
      <c r="AVX14" s="191"/>
      <c r="AVY14" s="191"/>
      <c r="AVZ14" s="82"/>
      <c r="AWA14" s="82"/>
      <c r="AWB14" s="192" t="s">
        <v>20</v>
      </c>
      <c r="AWC14" s="192"/>
      <c r="AWD14" s="192"/>
      <c r="AWE14" s="192"/>
      <c r="AWF14" s="102"/>
      <c r="AWG14" s="102"/>
      <c r="AWH14" s="191" t="s">
        <v>30</v>
      </c>
      <c r="AWI14" s="191"/>
      <c r="AWJ14" s="191"/>
      <c r="AWK14" s="191"/>
      <c r="AWL14" s="82"/>
      <c r="AWM14" s="82"/>
      <c r="AWN14" s="192" t="s">
        <v>21</v>
      </c>
      <c r="AWO14" s="192"/>
      <c r="AWP14" s="192"/>
      <c r="AWQ14" s="192"/>
      <c r="AWR14" s="102"/>
      <c r="AWS14" s="102"/>
      <c r="AWT14" s="191" t="s">
        <v>31</v>
      </c>
      <c r="AWU14" s="191"/>
      <c r="AWV14" s="191"/>
      <c r="AWW14" s="191"/>
      <c r="AWX14" s="82"/>
      <c r="AWY14" s="82"/>
      <c r="AWZ14" s="192" t="s">
        <v>22</v>
      </c>
      <c r="AXA14" s="192"/>
      <c r="AXB14" s="192"/>
      <c r="AXC14" s="192"/>
      <c r="AXD14" s="102"/>
      <c r="AXE14" s="102"/>
      <c r="AXF14" s="191" t="s">
        <v>32</v>
      </c>
      <c r="AXG14" s="191"/>
      <c r="AXH14" s="191"/>
      <c r="AXI14" s="191"/>
      <c r="AXJ14" s="82"/>
      <c r="AXK14" s="82"/>
      <c r="AXL14" s="192" t="s">
        <v>23</v>
      </c>
      <c r="AXM14" s="192"/>
      <c r="AXN14" s="192"/>
      <c r="AXO14" s="192"/>
      <c r="AXP14" s="102"/>
      <c r="AXQ14" s="102"/>
      <c r="AXR14" s="191" t="s">
        <v>33</v>
      </c>
      <c r="AXS14" s="191"/>
      <c r="AXT14" s="191"/>
      <c r="AXU14" s="191"/>
      <c r="AXV14" s="82"/>
      <c r="AXW14" s="82"/>
      <c r="AXX14" s="82"/>
      <c r="AXY14" s="83"/>
      <c r="AXZ14" s="81"/>
      <c r="AYA14" s="82"/>
      <c r="AYB14" s="82"/>
      <c r="AYC14" s="82"/>
      <c r="AYD14" s="191" t="s">
        <v>29</v>
      </c>
      <c r="AYE14" s="191"/>
      <c r="AYF14" s="191"/>
      <c r="AYG14" s="191"/>
      <c r="AYH14" s="82"/>
      <c r="AYI14" s="82"/>
      <c r="AYJ14" s="192" t="s">
        <v>20</v>
      </c>
      <c r="AYK14" s="192"/>
      <c r="AYL14" s="192"/>
      <c r="AYM14" s="192"/>
      <c r="AYN14" s="102"/>
      <c r="AYO14" s="102"/>
      <c r="AYP14" s="191" t="s">
        <v>30</v>
      </c>
      <c r="AYQ14" s="191"/>
      <c r="AYR14" s="191"/>
      <c r="AYS14" s="191"/>
      <c r="AYT14" s="82"/>
      <c r="AYU14" s="82"/>
      <c r="AYV14" s="192" t="s">
        <v>21</v>
      </c>
      <c r="AYW14" s="192"/>
      <c r="AYX14" s="192"/>
      <c r="AYY14" s="192"/>
      <c r="AYZ14" s="102"/>
      <c r="AZA14" s="102"/>
      <c r="AZB14" s="191" t="s">
        <v>31</v>
      </c>
      <c r="AZC14" s="191"/>
      <c r="AZD14" s="191"/>
      <c r="AZE14" s="191"/>
      <c r="AZF14" s="82"/>
      <c r="AZG14" s="82"/>
      <c r="AZH14" s="192" t="s">
        <v>22</v>
      </c>
      <c r="AZI14" s="192"/>
      <c r="AZJ14" s="192"/>
      <c r="AZK14" s="192"/>
      <c r="AZL14" s="102"/>
      <c r="AZM14" s="102"/>
      <c r="AZN14" s="191" t="s">
        <v>32</v>
      </c>
      <c r="AZO14" s="191"/>
      <c r="AZP14" s="191"/>
      <c r="AZQ14" s="191"/>
      <c r="AZR14" s="82"/>
      <c r="AZS14" s="82"/>
      <c r="AZT14" s="192" t="s">
        <v>23</v>
      </c>
      <c r="AZU14" s="192"/>
      <c r="AZV14" s="192"/>
      <c r="AZW14" s="192"/>
      <c r="AZX14" s="102"/>
      <c r="AZY14" s="102"/>
      <c r="AZZ14" s="191" t="s">
        <v>33</v>
      </c>
      <c r="BAA14" s="191"/>
      <c r="BAB14" s="191"/>
      <c r="BAC14" s="191"/>
      <c r="BAD14" s="82"/>
      <c r="BAE14" s="82"/>
      <c r="BAF14" s="82"/>
      <c r="BAG14" s="83"/>
      <c r="BAH14" s="81"/>
      <c r="BAI14" s="82"/>
      <c r="BAJ14" s="82"/>
      <c r="BAK14" s="82"/>
      <c r="BAL14" s="191" t="s">
        <v>29</v>
      </c>
      <c r="BAM14" s="191"/>
      <c r="BAN14" s="191"/>
      <c r="BAO14" s="191"/>
      <c r="BAP14" s="82"/>
      <c r="BAQ14" s="82"/>
      <c r="BAR14" s="192" t="s">
        <v>20</v>
      </c>
      <c r="BAS14" s="192"/>
      <c r="BAT14" s="192"/>
      <c r="BAU14" s="192"/>
      <c r="BAV14" s="102"/>
      <c r="BAW14" s="102"/>
      <c r="BAX14" s="191" t="s">
        <v>30</v>
      </c>
      <c r="BAY14" s="191"/>
      <c r="BAZ14" s="191"/>
      <c r="BBA14" s="191"/>
      <c r="BBB14" s="82"/>
      <c r="BBC14" s="82"/>
      <c r="BBD14" s="192" t="s">
        <v>21</v>
      </c>
      <c r="BBE14" s="192"/>
      <c r="BBF14" s="192"/>
      <c r="BBG14" s="192"/>
      <c r="BBH14" s="102"/>
      <c r="BBI14" s="102"/>
      <c r="BBJ14" s="191" t="s">
        <v>31</v>
      </c>
      <c r="BBK14" s="191"/>
      <c r="BBL14" s="191"/>
      <c r="BBM14" s="191"/>
      <c r="BBN14" s="82"/>
      <c r="BBO14" s="82"/>
      <c r="BBP14" s="192" t="s">
        <v>22</v>
      </c>
      <c r="BBQ14" s="192"/>
      <c r="BBR14" s="192"/>
      <c r="BBS14" s="192"/>
      <c r="BBT14" s="102"/>
      <c r="BBU14" s="102"/>
      <c r="BBV14" s="191" t="s">
        <v>32</v>
      </c>
      <c r="BBW14" s="191"/>
      <c r="BBX14" s="191"/>
      <c r="BBY14" s="191"/>
      <c r="BBZ14" s="82"/>
      <c r="BCA14" s="82"/>
      <c r="BCB14" s="192" t="s">
        <v>23</v>
      </c>
      <c r="BCC14" s="192"/>
      <c r="BCD14" s="192"/>
      <c r="BCE14" s="192"/>
      <c r="BCF14" s="102"/>
      <c r="BCG14" s="102"/>
      <c r="BCH14" s="191" t="s">
        <v>33</v>
      </c>
      <c r="BCI14" s="191"/>
      <c r="BCJ14" s="191"/>
      <c r="BCK14" s="191"/>
      <c r="BCL14" s="82"/>
      <c r="BCM14" s="82"/>
      <c r="BCN14" s="82"/>
      <c r="BCO14" s="83"/>
      <c r="BCP14" s="81"/>
      <c r="BCQ14" s="82"/>
      <c r="BCR14" s="82"/>
      <c r="BCS14" s="82"/>
      <c r="BCT14" s="191" t="s">
        <v>29</v>
      </c>
      <c r="BCU14" s="191"/>
      <c r="BCV14" s="191"/>
      <c r="BCW14" s="191"/>
      <c r="BCX14" s="82"/>
      <c r="BCY14" s="82"/>
      <c r="BCZ14" s="192" t="s">
        <v>20</v>
      </c>
      <c r="BDA14" s="192"/>
      <c r="BDB14" s="192"/>
      <c r="BDC14" s="192"/>
      <c r="BDD14" s="102"/>
      <c r="BDE14" s="102"/>
      <c r="BDF14" s="191" t="s">
        <v>30</v>
      </c>
      <c r="BDG14" s="191"/>
      <c r="BDH14" s="191"/>
      <c r="BDI14" s="191"/>
      <c r="BDJ14" s="82"/>
      <c r="BDK14" s="82"/>
      <c r="BDL14" s="192" t="s">
        <v>21</v>
      </c>
      <c r="BDM14" s="192"/>
      <c r="BDN14" s="192"/>
      <c r="BDO14" s="192"/>
      <c r="BDP14" s="102"/>
      <c r="BDQ14" s="102"/>
      <c r="BDR14" s="191" t="s">
        <v>31</v>
      </c>
      <c r="BDS14" s="191"/>
      <c r="BDT14" s="191"/>
      <c r="BDU14" s="191"/>
      <c r="BDV14" s="82"/>
      <c r="BDW14" s="82"/>
      <c r="BDX14" s="192" t="s">
        <v>22</v>
      </c>
      <c r="BDY14" s="192"/>
      <c r="BDZ14" s="192"/>
      <c r="BEA14" s="192"/>
      <c r="BEB14" s="102"/>
      <c r="BEC14" s="102"/>
      <c r="BED14" s="191" t="s">
        <v>32</v>
      </c>
      <c r="BEE14" s="191"/>
      <c r="BEF14" s="191"/>
      <c r="BEG14" s="191"/>
      <c r="BEH14" s="82"/>
      <c r="BEI14" s="82"/>
      <c r="BEJ14" s="192" t="s">
        <v>23</v>
      </c>
      <c r="BEK14" s="192"/>
      <c r="BEL14" s="192"/>
      <c r="BEM14" s="192"/>
      <c r="BEN14" s="102"/>
      <c r="BEO14" s="102"/>
      <c r="BEP14" s="191" t="s">
        <v>33</v>
      </c>
      <c r="BEQ14" s="191"/>
      <c r="BER14" s="191"/>
      <c r="BES14" s="191"/>
      <c r="BET14" s="82"/>
      <c r="BEU14" s="82"/>
      <c r="BEV14" s="82"/>
      <c r="BEW14" s="83"/>
      <c r="BEX14" s="81"/>
      <c r="BEY14" s="82"/>
      <c r="BEZ14" s="82"/>
      <c r="BFA14" s="82"/>
      <c r="BFB14" s="191" t="s">
        <v>29</v>
      </c>
      <c r="BFC14" s="191"/>
      <c r="BFD14" s="191"/>
      <c r="BFE14" s="191"/>
      <c r="BFF14" s="82"/>
      <c r="BFG14" s="82"/>
      <c r="BFH14" s="192" t="s">
        <v>20</v>
      </c>
      <c r="BFI14" s="192"/>
      <c r="BFJ14" s="192"/>
      <c r="BFK14" s="192"/>
      <c r="BFL14" s="102"/>
      <c r="BFM14" s="102"/>
      <c r="BFN14" s="191" t="s">
        <v>30</v>
      </c>
      <c r="BFO14" s="191"/>
      <c r="BFP14" s="191"/>
      <c r="BFQ14" s="191"/>
      <c r="BFR14" s="82"/>
      <c r="BFS14" s="82"/>
      <c r="BFT14" s="192" t="s">
        <v>21</v>
      </c>
      <c r="BFU14" s="192"/>
      <c r="BFV14" s="192"/>
      <c r="BFW14" s="192"/>
      <c r="BFX14" s="102"/>
      <c r="BFY14" s="102"/>
      <c r="BFZ14" s="191" t="s">
        <v>31</v>
      </c>
      <c r="BGA14" s="191"/>
      <c r="BGB14" s="191"/>
      <c r="BGC14" s="191"/>
      <c r="BGD14" s="82"/>
      <c r="BGE14" s="82"/>
      <c r="BGF14" s="192" t="s">
        <v>22</v>
      </c>
      <c r="BGG14" s="192"/>
      <c r="BGH14" s="192"/>
      <c r="BGI14" s="192"/>
      <c r="BGJ14" s="102"/>
      <c r="BGK14" s="102"/>
      <c r="BGL14" s="191" t="s">
        <v>32</v>
      </c>
      <c r="BGM14" s="191"/>
      <c r="BGN14" s="191"/>
      <c r="BGO14" s="191"/>
      <c r="BGP14" s="82"/>
      <c r="BGQ14" s="82"/>
      <c r="BGR14" s="192" t="s">
        <v>23</v>
      </c>
      <c r="BGS14" s="192"/>
      <c r="BGT14" s="192"/>
      <c r="BGU14" s="192"/>
      <c r="BGV14" s="102"/>
      <c r="BGW14" s="102"/>
      <c r="BGX14" s="191" t="s">
        <v>33</v>
      </c>
      <c r="BGY14" s="191"/>
      <c r="BGZ14" s="191"/>
      <c r="BHA14" s="191"/>
      <c r="BHB14" s="82"/>
      <c r="BHC14" s="82"/>
      <c r="BHD14" s="82"/>
      <c r="BHE14" s="83"/>
      <c r="BHF14" s="81"/>
      <c r="BHG14" s="82"/>
      <c r="BHH14" s="82"/>
      <c r="BHI14" s="82"/>
      <c r="BHJ14" s="191" t="s">
        <v>29</v>
      </c>
      <c r="BHK14" s="191"/>
      <c r="BHL14" s="191"/>
      <c r="BHM14" s="191"/>
      <c r="BHN14" s="82"/>
      <c r="BHO14" s="82"/>
      <c r="BHP14" s="192" t="s">
        <v>20</v>
      </c>
      <c r="BHQ14" s="192"/>
      <c r="BHR14" s="192"/>
      <c r="BHS14" s="192"/>
      <c r="BHT14" s="102"/>
      <c r="BHU14" s="102"/>
      <c r="BHV14" s="191" t="s">
        <v>30</v>
      </c>
      <c r="BHW14" s="191"/>
      <c r="BHX14" s="191"/>
      <c r="BHY14" s="191"/>
      <c r="BHZ14" s="82"/>
      <c r="BIA14" s="82"/>
      <c r="BIB14" s="192" t="s">
        <v>21</v>
      </c>
      <c r="BIC14" s="192"/>
      <c r="BID14" s="192"/>
      <c r="BIE14" s="192"/>
      <c r="BIF14" s="102"/>
      <c r="BIG14" s="102"/>
      <c r="BIH14" s="191" t="s">
        <v>31</v>
      </c>
      <c r="BII14" s="191"/>
      <c r="BIJ14" s="191"/>
      <c r="BIK14" s="191"/>
      <c r="BIL14" s="82"/>
      <c r="BIM14" s="82"/>
      <c r="BIN14" s="192" t="s">
        <v>22</v>
      </c>
      <c r="BIO14" s="192"/>
      <c r="BIP14" s="192"/>
      <c r="BIQ14" s="192"/>
      <c r="BIR14" s="102"/>
      <c r="BIS14" s="102"/>
      <c r="BIT14" s="191" t="s">
        <v>32</v>
      </c>
      <c r="BIU14" s="191"/>
      <c r="BIV14" s="191"/>
      <c r="BIW14" s="191"/>
      <c r="BIX14" s="82"/>
      <c r="BIY14" s="82"/>
      <c r="BIZ14" s="192" t="s">
        <v>23</v>
      </c>
      <c r="BJA14" s="192"/>
      <c r="BJB14" s="192"/>
      <c r="BJC14" s="192"/>
      <c r="BJD14" s="102"/>
      <c r="BJE14" s="102"/>
      <c r="BJF14" s="191" t="s">
        <v>33</v>
      </c>
      <c r="BJG14" s="191"/>
      <c r="BJH14" s="191"/>
      <c r="BJI14" s="191"/>
      <c r="BJJ14" s="82"/>
      <c r="BJK14" s="82"/>
      <c r="BJL14" s="82"/>
      <c r="BJM14" s="83"/>
      <c r="BJN14" s="73"/>
    </row>
    <row r="15" spans="1:1626" ht="20.100000000000001" customHeight="1" x14ac:dyDescent="0.25">
      <c r="A15" s="78" t="s">
        <v>16</v>
      </c>
      <c r="B15" s="51" t="str">
        <f>IF(LEN(C15)=0,"",C15)</f>
        <v xml:space="preserve">Absences - imprévus </v>
      </c>
      <c r="C15" s="211"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202"/>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201"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3"/>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201"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3"/>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201"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202"/>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201"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3"/>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201"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3"/>
      <c r="D26" s="121" t="str">
        <f t="shared" si="0"/>
        <v>1h 30 min</v>
      </c>
      <c r="E26" s="30">
        <v>18</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164"/>
      <c r="VU26" s="172"/>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164"/>
      <c r="XI26" s="164"/>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201"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202"/>
      <c r="D28" s="121" t="str">
        <f t="shared" si="0"/>
        <v>3h 50 min</v>
      </c>
      <c r="E28" s="22">
        <v>46</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201"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3"/>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201"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3"/>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201"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202"/>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201"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202"/>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201"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202"/>
      <c r="D38" s="121" t="str">
        <f t="shared" si="0"/>
        <v>1h 50 min</v>
      </c>
      <c r="E38" s="30">
        <v>22</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201"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202"/>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201"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3"/>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201"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202"/>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201"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202"/>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201"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3"/>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201"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202"/>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201"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3"/>
      <c r="D52" s="120" t="str">
        <f t="shared" si="0"/>
        <v>1h 40 min</v>
      </c>
      <c r="E52" s="22">
        <v>20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201"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202"/>
      <c r="D54" s="121" t="str">
        <f t="shared" si="0"/>
        <v>2h 25 min</v>
      </c>
      <c r="E54" s="30">
        <v>29</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164"/>
      <c r="UJ54" s="164"/>
      <c r="UK54" s="172"/>
      <c r="UL54" s="164"/>
      <c r="UM54" s="164"/>
      <c r="UN54" s="164"/>
      <c r="UO54" s="164"/>
      <c r="UP54" s="164"/>
      <c r="UQ54" s="165"/>
      <c r="UR54" s="164"/>
      <c r="US54" s="164"/>
      <c r="UT54" s="164"/>
      <c r="UU54" s="164"/>
      <c r="UV54" s="164"/>
      <c r="UW54" s="172"/>
      <c r="UX54" s="164"/>
      <c r="UY54" s="164"/>
      <c r="UZ54" s="164"/>
      <c r="VA54" s="164"/>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201"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202"/>
      <c r="D56" s="120" t="str">
        <f t="shared" si="0"/>
        <v xml:space="preserve"> 45 min</v>
      </c>
      <c r="E56" s="22">
        <v>9</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0"/>
      <c r="UA56" s="161"/>
      <c r="UB56" s="161"/>
      <c r="UC56" s="161"/>
      <c r="UD56" s="161"/>
      <c r="UE56" s="162"/>
      <c r="UF56" s="161"/>
      <c r="UG56" s="161"/>
      <c r="UH56" s="161"/>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201"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202"/>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201"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202"/>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201"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3"/>
      <c r="D62" s="120" t="str">
        <f t="shared" si="0"/>
        <v xml:space="preserve"> 50 min</v>
      </c>
      <c r="E62" s="80">
        <v>10</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164"/>
      <c r="VM62" s="164"/>
      <c r="VN62" s="164"/>
      <c r="VO62" s="165"/>
      <c r="VP62" s="164"/>
      <c r="VQ62" s="164"/>
      <c r="VR62" s="164"/>
      <c r="VS62" s="164"/>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201"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202"/>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201"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202"/>
      <c r="D66" s="121" t="str">
        <f t="shared" si="0"/>
        <v>4h 40 min</v>
      </c>
      <c r="E66" s="30">
        <v>56</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164"/>
      <c r="VI66" s="172"/>
      <c r="VJ66" s="164"/>
      <c r="VK66" s="164"/>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201"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202"/>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201"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3"/>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201"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3"/>
      <c r="D72" s="120" t="str">
        <f t="shared" si="0"/>
        <v xml:space="preserve"> 30 min</v>
      </c>
      <c r="E72" s="22">
        <v>6</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161"/>
      <c r="VC72" s="166"/>
      <c r="VD72" s="161"/>
      <c r="VE72" s="161"/>
      <c r="VF72" s="161"/>
      <c r="VG72" s="161"/>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201"/>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3"/>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201"/>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202"/>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201"/>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202"/>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201"/>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202"/>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201"/>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202"/>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201"/>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3"/>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201"/>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202"/>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201"/>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202"/>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201"/>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202"/>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201"/>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3"/>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201"/>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3"/>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97" t="s">
        <v>8</v>
      </c>
      <c r="D95" s="198"/>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9"/>
      <c r="D96" s="200"/>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5" t="s">
        <v>9</v>
      </c>
      <c r="D97" s="206"/>
      <c r="E97" s="93">
        <f>SUM(E16,E18,E20,E22,E24,E26,E28,E30,E32,E34,E36,E38,E40,E42,E44,E46,E48,E50,E52,E54,E56,E58,E60,E62,E64,E66,E68,E70,E72,E74,E76,E78,E80,E82,E84,E86,E88,E90,E92,E94)</f>
        <v>428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7"/>
      <c r="D98" s="208"/>
      <c r="E98" s="97" t="str">
        <f xml:space="preserve"> setValueToTime(E97)</f>
        <v>35h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zoomScale="77" zoomScaleNormal="130" zoomScaleSheetLayoutView="55"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8" t="s">
        <v>12</v>
      </c>
      <c r="G3" s="219"/>
      <c r="H3" s="151"/>
    </row>
    <row r="4" spans="1:8" s="43" customFormat="1" x14ac:dyDescent="0.3">
      <c r="B4" s="40" t="s">
        <v>42</v>
      </c>
      <c r="C4" s="41">
        <v>26</v>
      </c>
      <c r="D4" s="126" t="str">
        <f t="shared" ref="D4:D11" si="0" xml:space="preserve"> setValueToTime(C4)</f>
        <v>2h 10 min</v>
      </c>
      <c r="E4" s="42" t="s">
        <v>158</v>
      </c>
      <c r="F4" s="220"/>
      <c r="G4" s="221"/>
      <c r="H4" s="152"/>
    </row>
    <row r="5" spans="1:8" s="43" customFormat="1" x14ac:dyDescent="0.3">
      <c r="B5" s="44"/>
      <c r="C5" s="45"/>
      <c r="D5" s="126" t="str">
        <f t="shared" si="0"/>
        <v/>
      </c>
      <c r="E5" s="46"/>
      <c r="F5" s="222"/>
      <c r="G5" s="223"/>
      <c r="H5" s="152"/>
    </row>
    <row r="6" spans="1:8" s="43" customFormat="1" x14ac:dyDescent="0.3">
      <c r="B6" s="44"/>
      <c r="C6" s="45"/>
      <c r="D6" s="126" t="str">
        <f t="shared" si="0"/>
        <v/>
      </c>
      <c r="E6" s="46"/>
      <c r="F6" s="222"/>
      <c r="G6" s="223"/>
      <c r="H6" s="152"/>
    </row>
    <row r="7" spans="1:8" s="43" customFormat="1" x14ac:dyDescent="0.3">
      <c r="B7" s="44"/>
      <c r="C7" s="45"/>
      <c r="D7" s="126" t="str">
        <f t="shared" si="0"/>
        <v/>
      </c>
      <c r="E7" s="46"/>
      <c r="F7" s="222"/>
      <c r="G7" s="223"/>
      <c r="H7" s="152"/>
    </row>
    <row r="8" spans="1:8" s="43" customFormat="1" x14ac:dyDescent="0.3">
      <c r="B8" s="44"/>
      <c r="C8" s="45"/>
      <c r="D8" s="126" t="str">
        <f t="shared" si="0"/>
        <v/>
      </c>
      <c r="E8" s="46"/>
      <c r="F8" s="222"/>
      <c r="G8" s="223"/>
      <c r="H8" s="152"/>
    </row>
    <row r="9" spans="1:8" s="43" customFormat="1" x14ac:dyDescent="0.3">
      <c r="B9" s="44"/>
      <c r="C9" s="45"/>
      <c r="D9" s="126" t="str">
        <f t="shared" si="0"/>
        <v/>
      </c>
      <c r="E9" s="46"/>
      <c r="F9" s="222"/>
      <c r="G9" s="223"/>
      <c r="H9" s="152"/>
    </row>
    <row r="10" spans="1:8" s="43" customFormat="1" x14ac:dyDescent="0.3">
      <c r="B10" s="44"/>
      <c r="C10" s="45"/>
      <c r="D10" s="126" t="str">
        <f t="shared" si="0"/>
        <v/>
      </c>
      <c r="E10" s="46"/>
      <c r="F10" s="222"/>
      <c r="G10" s="223"/>
      <c r="H10" s="152"/>
    </row>
    <row r="11" spans="1:8" s="43" customFormat="1" ht="15" thickBot="1" x14ac:dyDescent="0.35">
      <c r="B11" s="44" t="s">
        <v>41</v>
      </c>
      <c r="C11" s="47">
        <v>2</v>
      </c>
      <c r="D11" s="126" t="str">
        <f t="shared" si="0"/>
        <v xml:space="preserve"> 10 min</v>
      </c>
      <c r="E11" s="48" t="s">
        <v>73</v>
      </c>
      <c r="F11" s="226"/>
      <c r="G11" s="227"/>
      <c r="H11" s="152"/>
    </row>
    <row r="12" spans="1:8" s="43" customFormat="1" ht="15" thickBot="1" x14ac:dyDescent="0.35">
      <c r="B12" s="86" t="s">
        <v>25</v>
      </c>
      <c r="C12" s="67">
        <f>SUM(C4:C11)</f>
        <v>28</v>
      </c>
      <c r="D12" s="86" t="str">
        <f xml:space="preserve"> setValueToTime(C12)</f>
        <v>2h 20 min</v>
      </c>
      <c r="E12" s="95"/>
      <c r="F12" s="224"/>
      <c r="G12" s="225"/>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8" t="s">
        <v>12</v>
      </c>
      <c r="G15" s="219"/>
      <c r="H15" s="151"/>
    </row>
    <row r="16" spans="1:8" s="43" customFormat="1" x14ac:dyDescent="0.3">
      <c r="B16" s="40" t="s">
        <v>42</v>
      </c>
      <c r="C16" s="41">
        <v>46</v>
      </c>
      <c r="D16" s="126" t="str">
        <f t="shared" ref="D16:D23" si="1" xml:space="preserve"> setValueToTime(C16)</f>
        <v>3h 50 min</v>
      </c>
      <c r="E16" s="42" t="s">
        <v>158</v>
      </c>
      <c r="F16" s="220"/>
      <c r="G16" s="221"/>
      <c r="H16" s="152"/>
    </row>
    <row r="17" spans="2:8" s="43" customFormat="1" x14ac:dyDescent="0.3">
      <c r="B17" s="44"/>
      <c r="C17" s="45"/>
      <c r="D17" s="126" t="str">
        <f t="shared" si="1"/>
        <v/>
      </c>
      <c r="E17" s="46"/>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4"/>
      <c r="C20" s="45"/>
      <c r="D20" s="126" t="str">
        <f t="shared" si="1"/>
        <v/>
      </c>
      <c r="E20" s="46"/>
      <c r="F20" s="222"/>
      <c r="G20" s="223"/>
      <c r="H20" s="152"/>
    </row>
    <row r="21" spans="2:8" s="43" customFormat="1" x14ac:dyDescent="0.3">
      <c r="B21" s="44"/>
      <c r="C21" s="45"/>
      <c r="D21" s="126" t="str">
        <f t="shared" si="1"/>
        <v/>
      </c>
      <c r="E21" s="46"/>
      <c r="F21" s="222"/>
      <c r="G21" s="223"/>
      <c r="H21" s="152"/>
    </row>
    <row r="22" spans="2:8" s="43" customFormat="1" x14ac:dyDescent="0.3">
      <c r="B22" s="44"/>
      <c r="C22" s="45"/>
      <c r="D22" s="126" t="str">
        <f t="shared" si="1"/>
        <v/>
      </c>
      <c r="E22" s="46"/>
      <c r="F22" s="222"/>
      <c r="G22" s="223"/>
      <c r="H22" s="152"/>
    </row>
    <row r="23" spans="2:8" s="43" customFormat="1" ht="15" thickBot="1" x14ac:dyDescent="0.35">
      <c r="B23" s="44" t="s">
        <v>41</v>
      </c>
      <c r="C23" s="47">
        <v>2</v>
      </c>
      <c r="D23" s="126" t="str">
        <f t="shared" si="1"/>
        <v xml:space="preserve"> 10 min</v>
      </c>
      <c r="E23" s="48" t="s">
        <v>73</v>
      </c>
      <c r="F23" s="226"/>
      <c r="G23" s="227"/>
      <c r="H23" s="152"/>
    </row>
    <row r="24" spans="2:8" s="43" customFormat="1" ht="15" thickBot="1" x14ac:dyDescent="0.35">
      <c r="B24" s="86" t="s">
        <v>25</v>
      </c>
      <c r="C24" s="67">
        <f>SUM(C16:C23)</f>
        <v>48</v>
      </c>
      <c r="D24" s="86" t="str">
        <f xml:space="preserve"> setValueToTime(C24)</f>
        <v>4h</v>
      </c>
      <c r="E24" s="95"/>
      <c r="F24" s="224"/>
      <c r="G24" s="225"/>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8" t="s">
        <v>12</v>
      </c>
      <c r="G27" s="219"/>
      <c r="H27" s="151"/>
    </row>
    <row r="28" spans="2:8" s="43" customFormat="1" x14ac:dyDescent="0.3">
      <c r="B28" s="40" t="s">
        <v>42</v>
      </c>
      <c r="C28" s="41">
        <v>36</v>
      </c>
      <c r="D28" s="126" t="str">
        <f t="shared" ref="D28:D35" si="2" xml:space="preserve"> setValueToTime(C28)</f>
        <v>3h</v>
      </c>
      <c r="E28" s="42" t="s">
        <v>158</v>
      </c>
      <c r="F28" s="220"/>
      <c r="G28" s="221"/>
      <c r="H28" s="152"/>
    </row>
    <row r="29" spans="2:8" s="43" customFormat="1" x14ac:dyDescent="0.3">
      <c r="B29" s="44"/>
      <c r="C29" s="45"/>
      <c r="D29" s="126" t="str">
        <f t="shared" si="2"/>
        <v/>
      </c>
      <c r="E29" s="46"/>
      <c r="F29" s="222"/>
      <c r="G29" s="223"/>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4"/>
      <c r="C32" s="45"/>
      <c r="D32" s="126" t="str">
        <f t="shared" si="2"/>
        <v/>
      </c>
      <c r="E32" s="46"/>
      <c r="F32" s="222"/>
      <c r="G32" s="223"/>
      <c r="H32" s="152"/>
    </row>
    <row r="33" spans="2:8" s="43" customFormat="1" x14ac:dyDescent="0.3">
      <c r="B33" s="44"/>
      <c r="C33" s="45"/>
      <c r="D33" s="126" t="str">
        <f t="shared" si="2"/>
        <v/>
      </c>
      <c r="E33" s="46"/>
      <c r="F33" s="222"/>
      <c r="G33" s="223"/>
      <c r="H33" s="152"/>
    </row>
    <row r="34" spans="2:8" s="43" customFormat="1" x14ac:dyDescent="0.3">
      <c r="B34" s="44"/>
      <c r="C34" s="45"/>
      <c r="D34" s="126" t="str">
        <f t="shared" si="2"/>
        <v/>
      </c>
      <c r="E34" s="46"/>
      <c r="F34" s="222"/>
      <c r="G34" s="223"/>
      <c r="H34" s="152"/>
    </row>
    <row r="35" spans="2:8" s="43" customFormat="1" ht="15" thickBot="1" x14ac:dyDescent="0.35">
      <c r="B35" s="44" t="s">
        <v>41</v>
      </c>
      <c r="C35" s="47">
        <v>2</v>
      </c>
      <c r="D35" s="126" t="str">
        <f t="shared" si="2"/>
        <v xml:space="preserve"> 10 min</v>
      </c>
      <c r="E35" s="48" t="s">
        <v>73</v>
      </c>
      <c r="F35" s="226"/>
      <c r="G35" s="227"/>
      <c r="H35" s="152"/>
    </row>
    <row r="36" spans="2:8" s="43" customFormat="1" ht="15" thickBot="1" x14ac:dyDescent="0.35">
      <c r="B36" s="86" t="s">
        <v>25</v>
      </c>
      <c r="C36" s="67">
        <f>SUM(C28:C35)</f>
        <v>38</v>
      </c>
      <c r="D36" s="86" t="str">
        <f xml:space="preserve"> setValueToTime(C36)</f>
        <v>3h 10 min</v>
      </c>
      <c r="E36" s="95"/>
      <c r="F36" s="224"/>
      <c r="G36" s="225"/>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8" t="s">
        <v>12</v>
      </c>
      <c r="G39" s="219"/>
      <c r="H39" s="151"/>
    </row>
    <row r="40" spans="2:8" s="43" customFormat="1" x14ac:dyDescent="0.3">
      <c r="B40" s="40" t="s">
        <v>42</v>
      </c>
      <c r="C40" s="41">
        <v>46</v>
      </c>
      <c r="D40" s="126" t="str">
        <f t="shared" ref="D40:D47" si="3" xml:space="preserve"> setValueToTime(C40)</f>
        <v>3h 50 min</v>
      </c>
      <c r="E40" s="42" t="s">
        <v>158</v>
      </c>
      <c r="F40" s="220"/>
      <c r="G40" s="221"/>
      <c r="H40" s="152"/>
    </row>
    <row r="41" spans="2:8" s="43" customFormat="1" x14ac:dyDescent="0.3">
      <c r="B41" s="44"/>
      <c r="C41" s="45"/>
      <c r="D41" s="126" t="str">
        <f t="shared" si="3"/>
        <v/>
      </c>
      <c r="E41" s="46"/>
      <c r="F41" s="222"/>
      <c r="G41" s="223"/>
      <c r="H41" s="152"/>
    </row>
    <row r="42" spans="2:8" s="43" customFormat="1" x14ac:dyDescent="0.3">
      <c r="B42" s="44"/>
      <c r="C42" s="45"/>
      <c r="D42" s="126" t="str">
        <f t="shared" si="3"/>
        <v/>
      </c>
      <c r="E42" s="46"/>
      <c r="F42" s="222"/>
      <c r="G42" s="223"/>
      <c r="H42" s="152"/>
    </row>
    <row r="43" spans="2:8" s="43" customFormat="1" x14ac:dyDescent="0.3">
      <c r="B43" s="44"/>
      <c r="C43" s="45"/>
      <c r="D43" s="126" t="str">
        <f t="shared" si="3"/>
        <v/>
      </c>
      <c r="E43" s="46"/>
      <c r="F43" s="222"/>
      <c r="G43" s="223"/>
      <c r="H43" s="152"/>
    </row>
    <row r="44" spans="2:8" s="43" customFormat="1" x14ac:dyDescent="0.3">
      <c r="B44" s="44"/>
      <c r="C44" s="45"/>
      <c r="D44" s="126" t="str">
        <f t="shared" si="3"/>
        <v/>
      </c>
      <c r="E44" s="46"/>
      <c r="F44" s="222"/>
      <c r="G44" s="223"/>
      <c r="H44" s="152"/>
    </row>
    <row r="45" spans="2:8" s="43" customFormat="1" x14ac:dyDescent="0.3">
      <c r="B45" s="44"/>
      <c r="C45" s="45"/>
      <c r="D45" s="126" t="str">
        <f t="shared" si="3"/>
        <v/>
      </c>
      <c r="E45" s="46"/>
      <c r="F45" s="222"/>
      <c r="G45" s="223"/>
      <c r="H45" s="152"/>
    </row>
    <row r="46" spans="2:8" s="43" customFormat="1" x14ac:dyDescent="0.3">
      <c r="B46" s="44"/>
      <c r="C46" s="45"/>
      <c r="D46" s="126" t="str">
        <f t="shared" si="3"/>
        <v/>
      </c>
      <c r="E46" s="46"/>
      <c r="F46" s="222"/>
      <c r="G46" s="223"/>
      <c r="H46" s="152"/>
    </row>
    <row r="47" spans="2:8" s="43" customFormat="1" ht="15" thickBot="1" x14ac:dyDescent="0.35">
      <c r="B47" s="44" t="s">
        <v>41</v>
      </c>
      <c r="C47" s="47">
        <v>2</v>
      </c>
      <c r="D47" s="126" t="str">
        <f t="shared" si="3"/>
        <v xml:space="preserve"> 10 min</v>
      </c>
      <c r="E47" s="48" t="s">
        <v>73</v>
      </c>
      <c r="F47" s="226"/>
      <c r="G47" s="227"/>
      <c r="H47" s="152"/>
    </row>
    <row r="48" spans="2:8" s="43" customFormat="1" ht="15" thickBot="1" x14ac:dyDescent="0.35">
      <c r="B48" s="86" t="s">
        <v>25</v>
      </c>
      <c r="C48" s="67">
        <f>SUM(C40:C47)</f>
        <v>48</v>
      </c>
      <c r="D48" s="86" t="str">
        <f xml:space="preserve"> setValueToTime(C48)</f>
        <v>4h</v>
      </c>
      <c r="E48" s="95"/>
      <c r="F48" s="224"/>
      <c r="G48" s="225"/>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8" t="s">
        <v>12</v>
      </c>
      <c r="G51" s="219"/>
      <c r="H51" s="151"/>
    </row>
    <row r="52" spans="2:8" s="43" customFormat="1" x14ac:dyDescent="0.3">
      <c r="B52" s="40" t="s">
        <v>163</v>
      </c>
      <c r="C52" s="41">
        <v>9</v>
      </c>
      <c r="D52" s="126" t="str">
        <f t="shared" ref="D52:D59" si="4" xml:space="preserve"> setValueToTime(C52)</f>
        <v xml:space="preserve"> 45 min</v>
      </c>
      <c r="E52" s="42" t="s">
        <v>164</v>
      </c>
      <c r="F52" s="220"/>
      <c r="G52" s="221"/>
      <c r="H52" s="152"/>
    </row>
    <row r="53" spans="2:8" s="43" customFormat="1" x14ac:dyDescent="0.3">
      <c r="B53" s="44" t="s">
        <v>51</v>
      </c>
      <c r="C53" s="45">
        <v>28</v>
      </c>
      <c r="D53" s="126" t="str">
        <f t="shared" si="4"/>
        <v>2h 20 min</v>
      </c>
      <c r="E53" s="46" t="s">
        <v>166</v>
      </c>
      <c r="F53" s="222"/>
      <c r="G53" s="223"/>
      <c r="H53" s="152"/>
    </row>
    <row r="54" spans="2:8" s="43" customFormat="1" x14ac:dyDescent="0.3">
      <c r="B54" s="44"/>
      <c r="C54" s="45"/>
      <c r="D54" s="126" t="str">
        <f t="shared" si="4"/>
        <v/>
      </c>
      <c r="E54" s="46"/>
      <c r="F54" s="222"/>
      <c r="G54" s="223"/>
      <c r="H54" s="152"/>
    </row>
    <row r="55" spans="2:8" s="43" customFormat="1" x14ac:dyDescent="0.3">
      <c r="B55" s="44"/>
      <c r="C55" s="45"/>
      <c r="D55" s="126" t="str">
        <f t="shared" si="4"/>
        <v/>
      </c>
      <c r="E55" s="46"/>
      <c r="F55" s="222"/>
      <c r="G55" s="223"/>
      <c r="H55" s="152"/>
    </row>
    <row r="56" spans="2:8" s="43" customFormat="1" x14ac:dyDescent="0.3">
      <c r="B56" s="44"/>
      <c r="C56" s="45"/>
      <c r="D56" s="126" t="str">
        <f t="shared" si="4"/>
        <v/>
      </c>
      <c r="E56" s="46"/>
      <c r="F56" s="222"/>
      <c r="G56" s="223"/>
      <c r="H56" s="152"/>
    </row>
    <row r="57" spans="2:8" s="43" customFormat="1" x14ac:dyDescent="0.3">
      <c r="B57" s="44"/>
      <c r="C57" s="45"/>
      <c r="D57" s="126" t="str">
        <f t="shared" si="4"/>
        <v/>
      </c>
      <c r="E57" s="46"/>
      <c r="F57" s="222"/>
      <c r="G57" s="223"/>
      <c r="H57" s="152"/>
    </row>
    <row r="58" spans="2:8" s="43" customFormat="1" x14ac:dyDescent="0.3">
      <c r="B58" s="44"/>
      <c r="C58" s="45"/>
      <c r="D58" s="126" t="str">
        <f t="shared" si="4"/>
        <v/>
      </c>
      <c r="E58" s="46"/>
      <c r="F58" s="222"/>
      <c r="G58" s="223"/>
      <c r="H58" s="152"/>
    </row>
    <row r="59" spans="2:8" s="43" customFormat="1" ht="15" thickBot="1" x14ac:dyDescent="0.35">
      <c r="B59" s="44" t="s">
        <v>41</v>
      </c>
      <c r="C59" s="47">
        <v>1</v>
      </c>
      <c r="D59" s="126" t="str">
        <f t="shared" si="4"/>
        <v xml:space="preserve"> 5 min</v>
      </c>
      <c r="E59" s="48" t="s">
        <v>73</v>
      </c>
      <c r="F59" s="226"/>
      <c r="G59" s="227"/>
      <c r="H59" s="152"/>
    </row>
    <row r="60" spans="2:8" s="43" customFormat="1" ht="15" thickBot="1" x14ac:dyDescent="0.35">
      <c r="B60" s="86" t="s">
        <v>25</v>
      </c>
      <c r="C60" s="67">
        <f>SUM(C52:C59)</f>
        <v>38</v>
      </c>
      <c r="D60" s="86" t="str">
        <f xml:space="preserve"> setValueToTime(C60)</f>
        <v>3h 10 min</v>
      </c>
      <c r="E60" s="95"/>
      <c r="F60" s="224"/>
      <c r="G60" s="225"/>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8" t="s">
        <v>12</v>
      </c>
      <c r="G63" s="219"/>
      <c r="H63" s="151"/>
    </row>
    <row r="64" spans="2:8" s="43" customFormat="1" x14ac:dyDescent="0.3">
      <c r="B64" s="40" t="s">
        <v>163</v>
      </c>
      <c r="C64" s="41">
        <v>47</v>
      </c>
      <c r="D64" s="126" t="str">
        <f t="shared" ref="D64:D70" si="5" xml:space="preserve"> setValueToTime(C64)</f>
        <v>3h 55 min</v>
      </c>
      <c r="E64" s="42" t="s">
        <v>164</v>
      </c>
      <c r="F64" s="220"/>
      <c r="G64" s="221"/>
      <c r="H64" s="152"/>
    </row>
    <row r="65" spans="2:8" s="43" customFormat="1" x14ac:dyDescent="0.3">
      <c r="B65" s="44"/>
      <c r="C65" s="45"/>
      <c r="D65" s="126" t="str">
        <f t="shared" si="5"/>
        <v/>
      </c>
      <c r="E65" s="46"/>
      <c r="F65" s="222"/>
      <c r="G65" s="223"/>
      <c r="H65" s="152"/>
    </row>
    <row r="66" spans="2:8" s="43" customFormat="1" x14ac:dyDescent="0.3">
      <c r="B66" s="44"/>
      <c r="C66" s="45"/>
      <c r="D66" s="126" t="str">
        <f t="shared" si="5"/>
        <v/>
      </c>
      <c r="E66" s="46"/>
      <c r="F66" s="222"/>
      <c r="G66" s="223"/>
      <c r="H66" s="152"/>
    </row>
    <row r="67" spans="2:8" s="43" customFormat="1" x14ac:dyDescent="0.3">
      <c r="B67" s="44"/>
      <c r="C67" s="45"/>
      <c r="D67" s="126" t="str">
        <f t="shared" si="5"/>
        <v/>
      </c>
      <c r="E67" s="46"/>
      <c r="F67" s="222"/>
      <c r="G67" s="223"/>
      <c r="H67" s="152"/>
    </row>
    <row r="68" spans="2:8" s="43" customFormat="1" x14ac:dyDescent="0.3">
      <c r="B68" s="44"/>
      <c r="C68" s="45"/>
      <c r="D68" s="126" t="str">
        <f t="shared" si="5"/>
        <v/>
      </c>
      <c r="E68" s="46"/>
      <c r="F68" s="222"/>
      <c r="G68" s="223"/>
      <c r="H68" s="152"/>
    </row>
    <row r="69" spans="2:8" s="43" customFormat="1" x14ac:dyDescent="0.3">
      <c r="B69" s="44"/>
      <c r="C69" s="45"/>
      <c r="D69" s="126" t="str">
        <f t="shared" si="5"/>
        <v/>
      </c>
      <c r="E69" s="46"/>
      <c r="F69" s="222"/>
      <c r="G69" s="223"/>
      <c r="H69" s="152"/>
    </row>
    <row r="70" spans="2:8" s="43" customFormat="1" x14ac:dyDescent="0.3">
      <c r="B70" s="44"/>
      <c r="C70" s="45"/>
      <c r="D70" s="126" t="str">
        <f t="shared" si="5"/>
        <v/>
      </c>
      <c r="E70" s="46"/>
      <c r="F70" s="222"/>
      <c r="G70" s="223"/>
      <c r="H70" s="152"/>
    </row>
    <row r="71" spans="2:8" s="43" customFormat="1" ht="15" thickBot="1" x14ac:dyDescent="0.35">
      <c r="B71" s="44" t="s">
        <v>41</v>
      </c>
      <c r="C71" s="47">
        <v>1</v>
      </c>
      <c r="D71" s="126" t="str">
        <f t="shared" ref="D71" si="6" xml:space="preserve"> setValueToTime(C71)</f>
        <v xml:space="preserve"> 5 min</v>
      </c>
      <c r="E71" s="48" t="s">
        <v>73</v>
      </c>
      <c r="F71" s="226"/>
      <c r="G71" s="227"/>
      <c r="H71" s="152"/>
    </row>
    <row r="72" spans="2:8" s="43" customFormat="1" ht="15" thickBot="1" x14ac:dyDescent="0.35">
      <c r="B72" s="86" t="s">
        <v>25</v>
      </c>
      <c r="C72" s="67">
        <f>SUM(C64:C71)</f>
        <v>48</v>
      </c>
      <c r="D72" s="86" t="str">
        <f xml:space="preserve"> setValueToTime(C72)</f>
        <v>4h</v>
      </c>
      <c r="E72" s="95"/>
      <c r="F72" s="224"/>
      <c r="G72" s="225"/>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8" t="s">
        <v>12</v>
      </c>
      <c r="G75" s="219"/>
      <c r="H75" s="151"/>
    </row>
    <row r="76" spans="2:8" s="43" customFormat="1" x14ac:dyDescent="0.3">
      <c r="B76" s="40" t="s">
        <v>163</v>
      </c>
      <c r="C76" s="41">
        <v>27</v>
      </c>
      <c r="D76" s="126" t="str">
        <f t="shared" ref="D76:D83" si="7" xml:space="preserve"> setValueToTime(C76)</f>
        <v>2h 15 min</v>
      </c>
      <c r="E76" s="42" t="s">
        <v>164</v>
      </c>
      <c r="F76" s="220"/>
      <c r="G76" s="221"/>
      <c r="H76" s="152"/>
    </row>
    <row r="77" spans="2:8" s="43" customFormat="1" x14ac:dyDescent="0.3">
      <c r="B77" s="44"/>
      <c r="C77" s="45"/>
      <c r="D77" s="126" t="str">
        <f t="shared" si="7"/>
        <v/>
      </c>
      <c r="E77" s="46"/>
      <c r="F77" s="222"/>
      <c r="G77" s="223"/>
      <c r="H77" s="152"/>
    </row>
    <row r="78" spans="2:8" s="43" customFormat="1" x14ac:dyDescent="0.3">
      <c r="B78" s="44"/>
      <c r="C78" s="45"/>
      <c r="D78" s="126" t="str">
        <f t="shared" si="7"/>
        <v/>
      </c>
      <c r="E78" s="46"/>
      <c r="F78" s="222"/>
      <c r="G78" s="223"/>
      <c r="H78" s="152"/>
    </row>
    <row r="79" spans="2:8" s="43" customFormat="1" x14ac:dyDescent="0.3">
      <c r="B79" s="44"/>
      <c r="C79" s="45"/>
      <c r="D79" s="126" t="str">
        <f t="shared" si="7"/>
        <v/>
      </c>
      <c r="E79" s="46"/>
      <c r="F79" s="222"/>
      <c r="G79" s="223"/>
      <c r="H79" s="152"/>
    </row>
    <row r="80" spans="2:8" s="43" customFormat="1" x14ac:dyDescent="0.3">
      <c r="B80" s="44"/>
      <c r="C80" s="45"/>
      <c r="D80" s="126" t="str">
        <f t="shared" si="7"/>
        <v/>
      </c>
      <c r="E80" s="46"/>
      <c r="F80" s="222"/>
      <c r="G80" s="223"/>
      <c r="H80" s="152"/>
    </row>
    <row r="81" spans="2:8" s="43" customFormat="1" x14ac:dyDescent="0.3">
      <c r="B81" s="44"/>
      <c r="C81" s="45"/>
      <c r="D81" s="126" t="str">
        <f t="shared" si="7"/>
        <v/>
      </c>
      <c r="E81" s="46"/>
      <c r="F81" s="222"/>
      <c r="G81" s="223"/>
      <c r="H81" s="152"/>
    </row>
    <row r="82" spans="2:8" s="43" customFormat="1" x14ac:dyDescent="0.3">
      <c r="B82" s="44"/>
      <c r="C82" s="45"/>
      <c r="D82" s="126" t="str">
        <f t="shared" si="7"/>
        <v/>
      </c>
      <c r="E82" s="46"/>
      <c r="F82" s="222"/>
      <c r="G82" s="223"/>
      <c r="H82" s="152"/>
    </row>
    <row r="83" spans="2:8" s="43" customFormat="1" ht="15" thickBot="1" x14ac:dyDescent="0.35">
      <c r="B83" s="44" t="s">
        <v>41</v>
      </c>
      <c r="C83" s="47">
        <v>1</v>
      </c>
      <c r="D83" s="126" t="str">
        <f t="shared" si="7"/>
        <v xml:space="preserve"> 5 min</v>
      </c>
      <c r="E83" s="48" t="s">
        <v>73</v>
      </c>
      <c r="F83" s="226"/>
      <c r="G83" s="227"/>
      <c r="H83" s="152"/>
    </row>
    <row r="84" spans="2:8" s="43" customFormat="1" ht="15" thickBot="1" x14ac:dyDescent="0.35">
      <c r="B84" s="86" t="s">
        <v>25</v>
      </c>
      <c r="C84" s="67">
        <f>SUM(C76:C83)</f>
        <v>28</v>
      </c>
      <c r="D84" s="86" t="str">
        <f xml:space="preserve"> setValueToTime(C84)</f>
        <v>2h 20 min</v>
      </c>
      <c r="E84" s="95"/>
      <c r="F84" s="224"/>
      <c r="G84" s="225"/>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8" t="s">
        <v>12</v>
      </c>
      <c r="G87" s="219"/>
      <c r="H87" s="151"/>
    </row>
    <row r="88" spans="2:8" s="43" customFormat="1" x14ac:dyDescent="0.3">
      <c r="B88" s="40" t="s">
        <v>163</v>
      </c>
      <c r="C88" s="41">
        <v>27</v>
      </c>
      <c r="D88" s="126" t="str">
        <f t="shared" ref="D88:D95" si="8" xml:space="preserve"> setValueToTime(C88)</f>
        <v>2h 15 min</v>
      </c>
      <c r="E88" s="42" t="s">
        <v>164</v>
      </c>
      <c r="F88" s="220"/>
      <c r="G88" s="221"/>
      <c r="H88" s="152"/>
    </row>
    <row r="89" spans="2:8" s="43" customFormat="1" x14ac:dyDescent="0.3">
      <c r="B89" s="44"/>
      <c r="C89" s="45"/>
      <c r="D89" s="126" t="str">
        <f t="shared" si="8"/>
        <v/>
      </c>
      <c r="E89" s="46"/>
      <c r="F89" s="222"/>
      <c r="G89" s="223"/>
      <c r="H89" s="152"/>
    </row>
    <row r="90" spans="2:8" s="43" customFormat="1" x14ac:dyDescent="0.3">
      <c r="B90" s="44"/>
      <c r="C90" s="45"/>
      <c r="D90" s="126" t="str">
        <f t="shared" si="8"/>
        <v/>
      </c>
      <c r="E90" s="46"/>
      <c r="F90" s="222"/>
      <c r="G90" s="223"/>
      <c r="H90" s="152"/>
    </row>
    <row r="91" spans="2:8" s="43" customFormat="1" x14ac:dyDescent="0.3">
      <c r="B91" s="44"/>
      <c r="C91" s="45"/>
      <c r="D91" s="126" t="str">
        <f t="shared" si="8"/>
        <v/>
      </c>
      <c r="E91" s="46"/>
      <c r="F91" s="222"/>
      <c r="G91" s="223"/>
      <c r="H91" s="152"/>
    </row>
    <row r="92" spans="2:8" s="43" customFormat="1" x14ac:dyDescent="0.3">
      <c r="B92" s="44"/>
      <c r="C92" s="45"/>
      <c r="D92" s="126" t="str">
        <f t="shared" si="8"/>
        <v/>
      </c>
      <c r="E92" s="46"/>
      <c r="F92" s="222"/>
      <c r="G92" s="223"/>
      <c r="H92" s="152"/>
    </row>
    <row r="93" spans="2:8" s="43" customFormat="1" x14ac:dyDescent="0.3">
      <c r="B93" s="44"/>
      <c r="C93" s="45"/>
      <c r="D93" s="126" t="str">
        <f t="shared" si="8"/>
        <v/>
      </c>
      <c r="E93" s="46"/>
      <c r="F93" s="222"/>
      <c r="G93" s="223"/>
      <c r="H93" s="152"/>
    </row>
    <row r="94" spans="2:8" s="43" customFormat="1" x14ac:dyDescent="0.3">
      <c r="B94" s="44"/>
      <c r="C94" s="45"/>
      <c r="D94" s="126" t="str">
        <f t="shared" si="8"/>
        <v/>
      </c>
      <c r="E94" s="46"/>
      <c r="F94" s="222"/>
      <c r="G94" s="223"/>
      <c r="H94" s="152"/>
    </row>
    <row r="95" spans="2:8" s="43" customFormat="1" ht="15" thickBot="1" x14ac:dyDescent="0.35">
      <c r="B95" s="44" t="s">
        <v>41</v>
      </c>
      <c r="C95" s="47">
        <v>1</v>
      </c>
      <c r="D95" s="126" t="str">
        <f t="shared" si="8"/>
        <v xml:space="preserve"> 5 min</v>
      </c>
      <c r="E95" s="48" t="s">
        <v>73</v>
      </c>
      <c r="F95" s="226"/>
      <c r="G95" s="227"/>
      <c r="H95" s="152"/>
    </row>
    <row r="96" spans="2:8" s="43" customFormat="1" ht="15" thickBot="1" x14ac:dyDescent="0.35">
      <c r="B96" s="86" t="s">
        <v>25</v>
      </c>
      <c r="C96" s="67">
        <f>SUM(C88:C95)</f>
        <v>28</v>
      </c>
      <c r="D96" s="86" t="str">
        <f xml:space="preserve"> setValueToTime(C96)</f>
        <v>2h 20 min</v>
      </c>
      <c r="E96" s="95"/>
      <c r="F96" s="224"/>
      <c r="G96" s="225"/>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8" t="s">
        <v>12</v>
      </c>
      <c r="G99" s="219"/>
      <c r="H99" s="151"/>
    </row>
    <row r="100" spans="2:8" s="43" customFormat="1" x14ac:dyDescent="0.3">
      <c r="B100" s="40" t="s">
        <v>163</v>
      </c>
      <c r="C100" s="41">
        <v>47</v>
      </c>
      <c r="D100" s="126" t="str">
        <f t="shared" ref="D100:D107" si="9" xml:space="preserve"> setValueToTime(C100)</f>
        <v>3h 55 min</v>
      </c>
      <c r="E100" s="42" t="s">
        <v>164</v>
      </c>
      <c r="F100" s="220"/>
      <c r="G100" s="221"/>
      <c r="H100" s="152"/>
    </row>
    <row r="101" spans="2:8" s="43" customFormat="1" x14ac:dyDescent="0.3">
      <c r="B101" s="44"/>
      <c r="C101" s="45"/>
      <c r="D101" s="126" t="str">
        <f t="shared" si="9"/>
        <v/>
      </c>
      <c r="E101" s="46"/>
      <c r="F101" s="222"/>
      <c r="G101" s="223"/>
      <c r="H101" s="152"/>
    </row>
    <row r="102" spans="2:8" s="43" customFormat="1" x14ac:dyDescent="0.3">
      <c r="B102" s="44"/>
      <c r="C102" s="45"/>
      <c r="D102" s="126" t="str">
        <f t="shared" si="9"/>
        <v/>
      </c>
      <c r="E102" s="46"/>
      <c r="F102" s="222"/>
      <c r="G102" s="223"/>
      <c r="H102" s="152"/>
    </row>
    <row r="103" spans="2:8" s="43" customFormat="1" x14ac:dyDescent="0.3">
      <c r="B103" s="44"/>
      <c r="C103" s="45"/>
      <c r="D103" s="126" t="str">
        <f t="shared" si="9"/>
        <v/>
      </c>
      <c r="E103" s="46"/>
      <c r="F103" s="222"/>
      <c r="G103" s="223"/>
      <c r="H103" s="152"/>
    </row>
    <row r="104" spans="2:8" s="43" customFormat="1" x14ac:dyDescent="0.3">
      <c r="B104" s="44"/>
      <c r="C104" s="45"/>
      <c r="D104" s="126" t="str">
        <f t="shared" si="9"/>
        <v/>
      </c>
      <c r="E104" s="46"/>
      <c r="F104" s="222"/>
      <c r="G104" s="223"/>
      <c r="H104" s="152"/>
    </row>
    <row r="105" spans="2:8" s="43" customFormat="1" x14ac:dyDescent="0.3">
      <c r="B105" s="44"/>
      <c r="C105" s="45"/>
      <c r="D105" s="126" t="str">
        <f t="shared" si="9"/>
        <v/>
      </c>
      <c r="E105" s="46"/>
      <c r="F105" s="222"/>
      <c r="G105" s="223"/>
      <c r="H105" s="152"/>
    </row>
    <row r="106" spans="2:8" s="43" customFormat="1" x14ac:dyDescent="0.3">
      <c r="B106" s="44"/>
      <c r="C106" s="45"/>
      <c r="D106" s="126" t="str">
        <f t="shared" si="9"/>
        <v/>
      </c>
      <c r="E106" s="46"/>
      <c r="F106" s="222"/>
      <c r="G106" s="223"/>
      <c r="H106" s="152"/>
    </row>
    <row r="107" spans="2:8" s="43" customFormat="1" ht="15" thickBot="1" x14ac:dyDescent="0.35">
      <c r="B107" s="44" t="s">
        <v>41</v>
      </c>
      <c r="C107" s="47">
        <v>1</v>
      </c>
      <c r="D107" s="126" t="str">
        <f t="shared" si="9"/>
        <v xml:space="preserve"> 5 min</v>
      </c>
      <c r="E107" s="48" t="s">
        <v>73</v>
      </c>
      <c r="F107" s="226"/>
      <c r="G107" s="227"/>
      <c r="H107" s="152"/>
    </row>
    <row r="108" spans="2:8" s="43" customFormat="1" ht="15" thickBot="1" x14ac:dyDescent="0.35">
      <c r="B108" s="86" t="s">
        <v>25</v>
      </c>
      <c r="C108" s="67">
        <f>SUM(C100:C107)</f>
        <v>48</v>
      </c>
      <c r="D108" s="86" t="str">
        <f xml:space="preserve"> setValueToTime(C108)</f>
        <v>4h</v>
      </c>
      <c r="E108" s="95"/>
      <c r="F108" s="224"/>
      <c r="G108" s="225"/>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8" t="s">
        <v>12</v>
      </c>
      <c r="G111" s="219"/>
      <c r="H111" s="151"/>
    </row>
    <row r="112" spans="2:8" s="43" customFormat="1" ht="27" x14ac:dyDescent="0.3">
      <c r="B112" s="44" t="s">
        <v>53</v>
      </c>
      <c r="C112" s="45">
        <v>10</v>
      </c>
      <c r="D112" s="126" t="str">
        <f t="shared" ref="D112:D119" si="10" xml:space="preserve"> setValueToTime(C112)</f>
        <v xml:space="preserve"> 50 min</v>
      </c>
      <c r="E112" s="46" t="s">
        <v>156</v>
      </c>
      <c r="F112" s="220"/>
      <c r="G112" s="221"/>
      <c r="H112" s="152"/>
    </row>
    <row r="113" spans="2:8" s="43" customFormat="1" x14ac:dyDescent="0.3">
      <c r="B113" s="44" t="s">
        <v>52</v>
      </c>
      <c r="C113" s="45">
        <v>9</v>
      </c>
      <c r="D113" s="126" t="str">
        <f t="shared" si="10"/>
        <v xml:space="preserve"> 45 min</v>
      </c>
      <c r="E113" s="46" t="s">
        <v>157</v>
      </c>
      <c r="F113" s="222"/>
      <c r="G113" s="223"/>
      <c r="H113" s="152"/>
    </row>
    <row r="114" spans="2:8" s="43" customFormat="1" x14ac:dyDescent="0.3">
      <c r="B114" s="44" t="s">
        <v>163</v>
      </c>
      <c r="C114" s="45">
        <v>8</v>
      </c>
      <c r="D114" s="126" t="str">
        <f t="shared" si="10"/>
        <v xml:space="preserve"> 40 min</v>
      </c>
      <c r="E114" s="46" t="s">
        <v>164</v>
      </c>
      <c r="F114" s="222"/>
      <c r="G114" s="223"/>
      <c r="H114" s="152"/>
    </row>
    <row r="115" spans="2:8" s="43" customFormat="1" x14ac:dyDescent="0.3">
      <c r="B115" s="44"/>
      <c r="C115" s="45"/>
      <c r="D115" s="126" t="str">
        <f t="shared" si="10"/>
        <v/>
      </c>
      <c r="E115" s="46"/>
      <c r="F115" s="222"/>
      <c r="G115" s="223"/>
      <c r="H115" s="152"/>
    </row>
    <row r="116" spans="2:8" s="43" customFormat="1" x14ac:dyDescent="0.3">
      <c r="B116" s="44"/>
      <c r="C116" s="45"/>
      <c r="D116" s="126" t="str">
        <f t="shared" si="10"/>
        <v/>
      </c>
      <c r="E116" s="46"/>
      <c r="F116" s="222"/>
      <c r="G116" s="223"/>
      <c r="H116" s="152"/>
    </row>
    <row r="117" spans="2:8" s="43" customFormat="1" x14ac:dyDescent="0.3">
      <c r="B117" s="44"/>
      <c r="C117" s="45"/>
      <c r="D117" s="126" t="str">
        <f t="shared" si="10"/>
        <v/>
      </c>
      <c r="E117" s="46"/>
      <c r="F117" s="222"/>
      <c r="G117" s="223"/>
      <c r="H117" s="152"/>
    </row>
    <row r="118" spans="2:8" s="43" customFormat="1" x14ac:dyDescent="0.3">
      <c r="B118" s="44"/>
      <c r="C118" s="45"/>
      <c r="D118" s="126" t="str">
        <f t="shared" si="10"/>
        <v/>
      </c>
      <c r="E118" s="46"/>
      <c r="F118" s="222"/>
      <c r="G118" s="223"/>
      <c r="H118" s="152"/>
    </row>
    <row r="119" spans="2:8" s="43" customFormat="1" ht="15" thickBot="1" x14ac:dyDescent="0.35">
      <c r="B119" s="44" t="s">
        <v>41</v>
      </c>
      <c r="C119" s="47">
        <v>1</v>
      </c>
      <c r="D119" s="126" t="str">
        <f t="shared" si="10"/>
        <v xml:space="preserve"> 5 min</v>
      </c>
      <c r="E119" s="48" t="s">
        <v>73</v>
      </c>
      <c r="F119" s="226"/>
      <c r="G119" s="227"/>
      <c r="H119" s="152"/>
    </row>
    <row r="120" spans="2:8" s="43" customFormat="1" ht="15" thickBot="1" x14ac:dyDescent="0.35">
      <c r="B120" s="86" t="s">
        <v>25</v>
      </c>
      <c r="C120" s="67">
        <f>SUM(C112:C119)</f>
        <v>28</v>
      </c>
      <c r="D120" s="86" t="str">
        <f xml:space="preserve"> setValueToTime(C120)</f>
        <v>2h 20 min</v>
      </c>
      <c r="E120" s="95"/>
      <c r="F120" s="224"/>
      <c r="G120" s="225"/>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8" t="s">
        <v>12</v>
      </c>
      <c r="G123" s="219"/>
      <c r="H123" s="151"/>
    </row>
    <row r="124" spans="2:8" s="43" customFormat="1" x14ac:dyDescent="0.3">
      <c r="B124" s="44" t="s">
        <v>51</v>
      </c>
      <c r="C124" s="45">
        <v>6</v>
      </c>
      <c r="D124" s="126" t="str">
        <f t="shared" ref="D124:D131" si="11" xml:space="preserve"> setValueToTime(C124)</f>
        <v xml:space="preserve"> 30 min</v>
      </c>
      <c r="E124" s="46" t="s">
        <v>153</v>
      </c>
      <c r="F124" s="220"/>
      <c r="G124" s="221"/>
      <c r="H124" s="152"/>
    </row>
    <row r="125" spans="2:8" s="43" customFormat="1" x14ac:dyDescent="0.3">
      <c r="B125" s="44" t="s">
        <v>66</v>
      </c>
      <c r="C125" s="45">
        <v>41</v>
      </c>
      <c r="D125" s="126" t="str">
        <f t="shared" si="11"/>
        <v>3h 25 min</v>
      </c>
      <c r="E125" s="46" t="s">
        <v>155</v>
      </c>
      <c r="F125" s="222"/>
      <c r="G125" s="223"/>
      <c r="H125" s="152"/>
    </row>
    <row r="126" spans="2:8" s="43" customFormat="1" x14ac:dyDescent="0.3">
      <c r="B126" s="44"/>
      <c r="C126" s="45"/>
      <c r="D126" s="126" t="str">
        <f t="shared" si="11"/>
        <v/>
      </c>
      <c r="E126" s="46"/>
      <c r="F126" s="222"/>
      <c r="G126" s="223"/>
      <c r="H126" s="152"/>
    </row>
    <row r="127" spans="2:8" s="43" customFormat="1" x14ac:dyDescent="0.3">
      <c r="B127" s="44"/>
      <c r="C127" s="45"/>
      <c r="D127" s="126" t="str">
        <f t="shared" si="11"/>
        <v/>
      </c>
      <c r="E127" s="46"/>
      <c r="F127" s="222"/>
      <c r="G127" s="223"/>
      <c r="H127" s="152"/>
    </row>
    <row r="128" spans="2:8" s="43" customFormat="1" x14ac:dyDescent="0.3">
      <c r="B128" s="44"/>
      <c r="C128" s="45"/>
      <c r="D128" s="126" t="str">
        <f t="shared" si="11"/>
        <v/>
      </c>
      <c r="E128" s="46"/>
      <c r="F128" s="222"/>
      <c r="G128" s="223"/>
      <c r="H128" s="152"/>
    </row>
    <row r="129" spans="2:8" s="43" customFormat="1" x14ac:dyDescent="0.3">
      <c r="B129" s="44"/>
      <c r="C129" s="45"/>
      <c r="D129" s="126" t="str">
        <f t="shared" si="11"/>
        <v/>
      </c>
      <c r="E129" s="46"/>
      <c r="F129" s="222"/>
      <c r="G129" s="223"/>
      <c r="H129" s="152"/>
    </row>
    <row r="130" spans="2:8" s="43" customFormat="1" x14ac:dyDescent="0.3">
      <c r="B130" s="44"/>
      <c r="C130" s="45"/>
      <c r="D130" s="126" t="str">
        <f t="shared" si="11"/>
        <v/>
      </c>
      <c r="E130" s="46"/>
      <c r="F130" s="222"/>
      <c r="G130" s="223"/>
      <c r="H130" s="152"/>
    </row>
    <row r="131" spans="2:8" s="43" customFormat="1" ht="15" thickBot="1" x14ac:dyDescent="0.35">
      <c r="B131" s="44" t="s">
        <v>41</v>
      </c>
      <c r="C131" s="47">
        <v>1</v>
      </c>
      <c r="D131" s="126" t="str">
        <f t="shared" si="11"/>
        <v xml:space="preserve"> 5 min</v>
      </c>
      <c r="E131" s="48" t="s">
        <v>73</v>
      </c>
      <c r="F131" s="226"/>
      <c r="G131" s="227"/>
      <c r="H131" s="152"/>
    </row>
    <row r="132" spans="2:8" s="43" customFormat="1" ht="15" thickBot="1" x14ac:dyDescent="0.35">
      <c r="B132" s="86" t="s">
        <v>25</v>
      </c>
      <c r="C132" s="67">
        <f>SUM(C124:C131)</f>
        <v>48</v>
      </c>
      <c r="D132" s="86" t="str">
        <f xml:space="preserve"> setValueToTime(C132)</f>
        <v>4h</v>
      </c>
      <c r="E132" s="95"/>
      <c r="F132" s="224"/>
      <c r="G132" s="225"/>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8" t="s">
        <v>12</v>
      </c>
      <c r="G135" s="219"/>
      <c r="H135" s="151"/>
    </row>
    <row r="136" spans="2:8" s="43" customFormat="1" ht="40.5" x14ac:dyDescent="0.3">
      <c r="B136" s="44" t="s">
        <v>57</v>
      </c>
      <c r="C136" s="45">
        <v>9</v>
      </c>
      <c r="D136" s="126" t="str">
        <f t="shared" ref="D136:D143" si="12" xml:space="preserve"> setValueToTime(C136)</f>
        <v xml:space="preserve"> 45 min</v>
      </c>
      <c r="E136" s="46" t="s">
        <v>151</v>
      </c>
      <c r="F136" s="220"/>
      <c r="G136" s="221"/>
      <c r="H136" s="152"/>
    </row>
    <row r="137" spans="2:8" s="43" customFormat="1" ht="27" x14ac:dyDescent="0.3">
      <c r="B137" s="44" t="s">
        <v>63</v>
      </c>
      <c r="C137" s="45">
        <v>23</v>
      </c>
      <c r="D137" s="126" t="str">
        <f t="shared" si="12"/>
        <v>1h 55 min</v>
      </c>
      <c r="E137" s="46" t="s">
        <v>152</v>
      </c>
      <c r="F137" s="222"/>
      <c r="G137" s="223"/>
      <c r="H137" s="152"/>
    </row>
    <row r="138" spans="2:8" s="43" customFormat="1" x14ac:dyDescent="0.3">
      <c r="B138" s="44" t="s">
        <v>51</v>
      </c>
      <c r="C138" s="45">
        <v>3</v>
      </c>
      <c r="D138" s="126" t="str">
        <f t="shared" si="12"/>
        <v xml:space="preserve"> 15 min</v>
      </c>
      <c r="E138" s="46" t="s">
        <v>149</v>
      </c>
      <c r="F138" s="222"/>
      <c r="G138" s="223"/>
      <c r="H138" s="152"/>
    </row>
    <row r="139" spans="2:8" s="43" customFormat="1" x14ac:dyDescent="0.3">
      <c r="B139" s="44" t="s">
        <v>42</v>
      </c>
      <c r="C139" s="45">
        <v>2</v>
      </c>
      <c r="D139" s="126" t="str">
        <f t="shared" si="12"/>
        <v xml:space="preserve"> 10 min</v>
      </c>
      <c r="E139" s="46" t="s">
        <v>148</v>
      </c>
      <c r="F139" s="222"/>
      <c r="G139" s="223"/>
      <c r="H139" s="152"/>
    </row>
    <row r="140" spans="2:8" s="43" customFormat="1" x14ac:dyDescent="0.3">
      <c r="B140" s="44"/>
      <c r="C140" s="45"/>
      <c r="D140" s="126" t="str">
        <f t="shared" si="12"/>
        <v/>
      </c>
      <c r="E140" s="46"/>
      <c r="F140" s="222"/>
      <c r="G140" s="223"/>
      <c r="H140" s="152"/>
    </row>
    <row r="141" spans="2:8" s="43" customFormat="1" x14ac:dyDescent="0.3">
      <c r="B141" s="44"/>
      <c r="C141" s="45"/>
      <c r="D141" s="126" t="str">
        <f t="shared" si="12"/>
        <v/>
      </c>
      <c r="E141" s="46"/>
      <c r="F141" s="222"/>
      <c r="G141" s="223"/>
      <c r="H141" s="152"/>
    </row>
    <row r="142" spans="2:8" s="43" customFormat="1" x14ac:dyDescent="0.3">
      <c r="B142" s="44"/>
      <c r="C142" s="45"/>
      <c r="D142" s="126" t="str">
        <f t="shared" si="12"/>
        <v/>
      </c>
      <c r="E142" s="46"/>
      <c r="F142" s="222"/>
      <c r="G142" s="223"/>
      <c r="H142" s="152"/>
    </row>
    <row r="143" spans="2:8" s="43" customFormat="1" ht="15" thickBot="1" x14ac:dyDescent="0.35">
      <c r="B143" s="44" t="s">
        <v>41</v>
      </c>
      <c r="C143" s="47">
        <v>1</v>
      </c>
      <c r="D143" s="126" t="str">
        <f t="shared" si="12"/>
        <v xml:space="preserve"> 5 min</v>
      </c>
      <c r="E143" s="48" t="s">
        <v>73</v>
      </c>
      <c r="F143" s="226"/>
      <c r="G143" s="227"/>
      <c r="H143" s="152"/>
    </row>
    <row r="144" spans="2:8" s="43" customFormat="1" ht="15" thickBot="1" x14ac:dyDescent="0.35">
      <c r="B144" s="86" t="s">
        <v>25</v>
      </c>
      <c r="C144" s="67">
        <f>SUM(C136:C143)</f>
        <v>38</v>
      </c>
      <c r="D144" s="86" t="str">
        <f xml:space="preserve"> setValueToTime(C144)</f>
        <v>3h 10 min</v>
      </c>
      <c r="E144" s="95"/>
      <c r="F144" s="224"/>
      <c r="G144" s="225"/>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8" t="s">
        <v>12</v>
      </c>
      <c r="G147" s="219"/>
      <c r="H147" s="151"/>
    </row>
    <row r="148" spans="2:8" s="43" customFormat="1" x14ac:dyDescent="0.3">
      <c r="B148" s="44" t="s">
        <v>62</v>
      </c>
      <c r="C148" s="45">
        <v>14</v>
      </c>
      <c r="D148" s="126" t="str">
        <f t="shared" ref="D148:D155" si="13" xml:space="preserve"> setValueToTime(C148)</f>
        <v>1h 10 min</v>
      </c>
      <c r="E148" s="46" t="s">
        <v>142</v>
      </c>
      <c r="F148" s="220"/>
      <c r="G148" s="221"/>
      <c r="H148" s="152"/>
    </row>
    <row r="149" spans="2:8" s="43" customFormat="1" x14ac:dyDescent="0.3">
      <c r="B149" s="44" t="s">
        <v>51</v>
      </c>
      <c r="C149" s="45">
        <v>5</v>
      </c>
      <c r="D149" s="126" t="str">
        <f t="shared" si="13"/>
        <v xml:space="preserve"> 25 min</v>
      </c>
      <c r="E149" s="46" t="s">
        <v>145</v>
      </c>
      <c r="F149" s="222"/>
      <c r="G149" s="223"/>
      <c r="H149" s="152"/>
    </row>
    <row r="150" spans="2:8" s="43" customFormat="1" ht="40.5" x14ac:dyDescent="0.3">
      <c r="B150" s="44" t="s">
        <v>57</v>
      </c>
      <c r="C150" s="45">
        <v>8</v>
      </c>
      <c r="D150" s="126" t="str">
        <f t="shared" si="13"/>
        <v xml:space="preserve"> 40 min</v>
      </c>
      <c r="E150" s="46" t="s">
        <v>146</v>
      </c>
      <c r="F150" s="222"/>
      <c r="G150" s="223"/>
      <c r="H150" s="152"/>
    </row>
    <row r="151" spans="2:8" s="43" customFormat="1" x14ac:dyDescent="0.3">
      <c r="B151" s="44" t="s">
        <v>63</v>
      </c>
      <c r="C151" s="45">
        <v>20</v>
      </c>
      <c r="D151" s="126" t="str">
        <f t="shared" si="13"/>
        <v>1h 40 min</v>
      </c>
      <c r="E151" s="46" t="s">
        <v>147</v>
      </c>
      <c r="F151" s="222"/>
      <c r="G151" s="223"/>
      <c r="H151" s="152"/>
    </row>
    <row r="152" spans="2:8" s="43" customFormat="1" x14ac:dyDescent="0.3">
      <c r="B152" s="44"/>
      <c r="C152" s="45"/>
      <c r="D152" s="126" t="str">
        <f t="shared" si="13"/>
        <v/>
      </c>
      <c r="E152" s="46"/>
      <c r="F152" s="222"/>
      <c r="G152" s="223"/>
      <c r="H152" s="152"/>
    </row>
    <row r="153" spans="2:8" s="43" customFormat="1" x14ac:dyDescent="0.3">
      <c r="B153" s="44"/>
      <c r="C153" s="45"/>
      <c r="D153" s="126" t="str">
        <f t="shared" si="13"/>
        <v/>
      </c>
      <c r="E153" s="46"/>
      <c r="F153" s="222"/>
      <c r="G153" s="223"/>
      <c r="H153" s="152"/>
    </row>
    <row r="154" spans="2:8" s="43" customFormat="1" x14ac:dyDescent="0.3">
      <c r="B154" s="44"/>
      <c r="C154" s="45"/>
      <c r="D154" s="126" t="str">
        <f t="shared" si="13"/>
        <v/>
      </c>
      <c r="E154" s="46"/>
      <c r="F154" s="222"/>
      <c r="G154" s="223"/>
      <c r="H154" s="152"/>
    </row>
    <row r="155" spans="2:8" s="43" customFormat="1" ht="15" thickBot="1" x14ac:dyDescent="0.35">
      <c r="B155" s="44" t="s">
        <v>41</v>
      </c>
      <c r="C155" s="47">
        <v>1</v>
      </c>
      <c r="D155" s="126" t="str">
        <f t="shared" si="13"/>
        <v xml:space="preserve"> 5 min</v>
      </c>
      <c r="E155" s="48" t="s">
        <v>73</v>
      </c>
      <c r="F155" s="226"/>
      <c r="G155" s="227"/>
      <c r="H155" s="152"/>
    </row>
    <row r="156" spans="2:8" s="43" customFormat="1" ht="15" thickBot="1" x14ac:dyDescent="0.35">
      <c r="B156" s="86" t="s">
        <v>25</v>
      </c>
      <c r="C156" s="67">
        <f>SUM(C148:C155)</f>
        <v>48</v>
      </c>
      <c r="D156" s="86" t="str">
        <f xml:space="preserve"> setValueToTime(C156)</f>
        <v>4h</v>
      </c>
      <c r="E156" s="95"/>
      <c r="F156" s="224"/>
      <c r="G156" s="225"/>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8" t="s">
        <v>12</v>
      </c>
      <c r="G159" s="219"/>
      <c r="H159" s="151"/>
    </row>
    <row r="160" spans="2:8" s="43" customFormat="1" x14ac:dyDescent="0.3">
      <c r="B160" s="44" t="s">
        <v>62</v>
      </c>
      <c r="C160" s="45">
        <v>13</v>
      </c>
      <c r="D160" s="126" t="str">
        <f t="shared" ref="D160:D167" si="14" xml:space="preserve"> setValueToTime(C160)</f>
        <v>1h 5 min</v>
      </c>
      <c r="E160" s="46" t="s">
        <v>143</v>
      </c>
      <c r="F160" s="220"/>
      <c r="G160" s="221"/>
      <c r="H160" s="152"/>
    </row>
    <row r="161" spans="2:8" s="43" customFormat="1" x14ac:dyDescent="0.3">
      <c r="B161" s="44" t="s">
        <v>62</v>
      </c>
      <c r="C161" s="45">
        <v>13</v>
      </c>
      <c r="D161" s="126" t="str">
        <f t="shared" si="14"/>
        <v>1h 5 min</v>
      </c>
      <c r="E161" s="46" t="s">
        <v>144</v>
      </c>
      <c r="F161" s="222"/>
      <c r="G161" s="223"/>
      <c r="H161" s="152"/>
    </row>
    <row r="162" spans="2:8" s="43" customFormat="1" x14ac:dyDescent="0.3">
      <c r="B162" s="44" t="s">
        <v>51</v>
      </c>
      <c r="C162" s="45">
        <v>11</v>
      </c>
      <c r="D162" s="126" t="str">
        <f t="shared" si="14"/>
        <v xml:space="preserve"> 55 min</v>
      </c>
      <c r="E162" s="46" t="s">
        <v>145</v>
      </c>
      <c r="F162" s="222"/>
      <c r="G162" s="223"/>
      <c r="H162" s="152"/>
    </row>
    <row r="163" spans="2:8" s="43" customFormat="1" x14ac:dyDescent="0.3">
      <c r="B163" s="44"/>
      <c r="C163" s="45"/>
      <c r="D163" s="126" t="str">
        <f t="shared" si="14"/>
        <v/>
      </c>
      <c r="E163" s="46"/>
      <c r="F163" s="222"/>
      <c r="G163" s="223"/>
      <c r="H163" s="152"/>
    </row>
    <row r="164" spans="2:8" s="43" customFormat="1" x14ac:dyDescent="0.3">
      <c r="B164" s="44"/>
      <c r="C164" s="45"/>
      <c r="D164" s="126" t="str">
        <f t="shared" si="14"/>
        <v/>
      </c>
      <c r="E164" s="46"/>
      <c r="F164" s="222"/>
      <c r="G164" s="223"/>
      <c r="H164" s="152"/>
    </row>
    <row r="165" spans="2:8" s="43" customFormat="1" x14ac:dyDescent="0.3">
      <c r="B165" s="44"/>
      <c r="C165" s="45"/>
      <c r="D165" s="126" t="str">
        <f t="shared" si="14"/>
        <v/>
      </c>
      <c r="E165" s="46"/>
      <c r="F165" s="222"/>
      <c r="G165" s="223"/>
      <c r="H165" s="152"/>
    </row>
    <row r="166" spans="2:8" s="43" customFormat="1" x14ac:dyDescent="0.3">
      <c r="B166" s="44"/>
      <c r="C166" s="45"/>
      <c r="D166" s="126" t="str">
        <f t="shared" si="14"/>
        <v/>
      </c>
      <c r="E166" s="46"/>
      <c r="F166" s="222"/>
      <c r="G166" s="223"/>
      <c r="H166" s="152"/>
    </row>
    <row r="167" spans="2:8" s="43" customFormat="1" ht="15" thickBot="1" x14ac:dyDescent="0.35">
      <c r="B167" s="44" t="s">
        <v>41</v>
      </c>
      <c r="C167" s="47">
        <v>1</v>
      </c>
      <c r="D167" s="126" t="str">
        <f t="shared" si="14"/>
        <v xml:space="preserve"> 5 min</v>
      </c>
      <c r="E167" s="48" t="s">
        <v>73</v>
      </c>
      <c r="F167" s="226"/>
      <c r="G167" s="227"/>
      <c r="H167" s="152"/>
    </row>
    <row r="168" spans="2:8" s="43" customFormat="1" ht="15" thickBot="1" x14ac:dyDescent="0.35">
      <c r="B168" s="86" t="s">
        <v>25</v>
      </c>
      <c r="C168" s="67">
        <f>SUM(C160:C167)</f>
        <v>38</v>
      </c>
      <c r="D168" s="86" t="str">
        <f xml:space="preserve"> setValueToTime(C168)</f>
        <v>3h 10 min</v>
      </c>
      <c r="E168" s="95"/>
      <c r="F168" s="224"/>
      <c r="G168" s="225"/>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8" t="s">
        <v>12</v>
      </c>
      <c r="G171" s="219"/>
      <c r="H171" s="151"/>
    </row>
    <row r="172" spans="2:8" s="43" customFormat="1" x14ac:dyDescent="0.3">
      <c r="B172" s="40" t="s">
        <v>45</v>
      </c>
      <c r="C172" s="41">
        <v>6</v>
      </c>
      <c r="D172" s="126" t="str">
        <f t="shared" ref="D172:D179" si="15" xml:space="preserve"> setValueToTime(C172)</f>
        <v xml:space="preserve"> 30 min</v>
      </c>
      <c r="E172" s="42" t="s">
        <v>159</v>
      </c>
      <c r="F172" s="220"/>
      <c r="G172" s="221"/>
      <c r="H172" s="152"/>
    </row>
    <row r="173" spans="2:8" s="43" customFormat="1" x14ac:dyDescent="0.3">
      <c r="B173" s="44" t="s">
        <v>61</v>
      </c>
      <c r="C173" s="45">
        <v>20</v>
      </c>
      <c r="D173" s="126" t="str">
        <f t="shared" si="15"/>
        <v>1h 40 min</v>
      </c>
      <c r="E173" s="46" t="s">
        <v>140</v>
      </c>
      <c r="F173" s="222"/>
      <c r="G173" s="223"/>
      <c r="H173" s="152"/>
    </row>
    <row r="174" spans="2:8" s="43" customFormat="1" x14ac:dyDescent="0.3">
      <c r="B174" s="44" t="s">
        <v>65</v>
      </c>
      <c r="C174" s="45">
        <v>21</v>
      </c>
      <c r="D174" s="126" t="str">
        <f t="shared" si="15"/>
        <v>1h 45 min</v>
      </c>
      <c r="E174" s="46" t="s">
        <v>141</v>
      </c>
      <c r="F174" s="222"/>
      <c r="G174" s="223"/>
      <c r="H174" s="152"/>
    </row>
    <row r="175" spans="2:8" s="43" customFormat="1" x14ac:dyDescent="0.3">
      <c r="B175" s="44"/>
      <c r="C175" s="45"/>
      <c r="D175" s="126" t="str">
        <f t="shared" si="15"/>
        <v/>
      </c>
      <c r="E175" s="46"/>
      <c r="F175" s="222"/>
      <c r="G175" s="223"/>
      <c r="H175" s="152"/>
    </row>
    <row r="176" spans="2:8" s="43" customFormat="1" x14ac:dyDescent="0.3">
      <c r="B176" s="44"/>
      <c r="C176" s="45"/>
      <c r="D176" s="126" t="str">
        <f t="shared" si="15"/>
        <v/>
      </c>
      <c r="E176" s="46"/>
      <c r="F176" s="222"/>
      <c r="G176" s="223"/>
      <c r="H176" s="152"/>
    </row>
    <row r="177" spans="2:8" s="43" customFormat="1" x14ac:dyDescent="0.3">
      <c r="B177" s="44"/>
      <c r="C177" s="45"/>
      <c r="D177" s="126" t="str">
        <f t="shared" si="15"/>
        <v/>
      </c>
      <c r="E177" s="46"/>
      <c r="F177" s="222"/>
      <c r="G177" s="223"/>
      <c r="H177" s="152"/>
    </row>
    <row r="178" spans="2:8" s="43" customFormat="1" x14ac:dyDescent="0.3">
      <c r="B178" s="44"/>
      <c r="C178" s="45"/>
      <c r="D178" s="126" t="str">
        <f t="shared" si="15"/>
        <v/>
      </c>
      <c r="E178" s="46"/>
      <c r="F178" s="222"/>
      <c r="G178" s="223"/>
      <c r="H178" s="152"/>
    </row>
    <row r="179" spans="2:8" s="43" customFormat="1" ht="15" thickBot="1" x14ac:dyDescent="0.35">
      <c r="B179" s="44" t="s">
        <v>41</v>
      </c>
      <c r="C179" s="47">
        <v>1</v>
      </c>
      <c r="D179" s="126" t="str">
        <f t="shared" si="15"/>
        <v xml:space="preserve"> 5 min</v>
      </c>
      <c r="E179" s="48" t="s">
        <v>73</v>
      </c>
      <c r="F179" s="226"/>
      <c r="G179" s="227"/>
      <c r="H179" s="152"/>
    </row>
    <row r="180" spans="2:8" s="43" customFormat="1" ht="15" thickBot="1" x14ac:dyDescent="0.35">
      <c r="B180" s="86" t="s">
        <v>25</v>
      </c>
      <c r="C180" s="67">
        <f>SUM(C172:C179)</f>
        <v>48</v>
      </c>
      <c r="D180" s="86" t="str">
        <f xml:space="preserve"> setValueToTime(C180)</f>
        <v>4h</v>
      </c>
      <c r="E180" s="95"/>
      <c r="F180" s="224"/>
      <c r="G180" s="225"/>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8" t="s">
        <v>12</v>
      </c>
      <c r="G183" s="219"/>
      <c r="H183" s="151"/>
    </row>
    <row r="184" spans="2:8" s="43" customFormat="1" x14ac:dyDescent="0.3">
      <c r="B184" s="44" t="s">
        <v>42</v>
      </c>
      <c r="C184" s="45">
        <v>3</v>
      </c>
      <c r="D184" s="126" t="str">
        <f t="shared" ref="D184:D191" si="16" xml:space="preserve"> setValueToTime(C184)</f>
        <v xml:space="preserve"> 15 min</v>
      </c>
      <c r="E184" s="46" t="s">
        <v>91</v>
      </c>
      <c r="F184" s="220"/>
      <c r="G184" s="221"/>
      <c r="H184" s="152"/>
    </row>
    <row r="185" spans="2:8" s="43" customFormat="1" x14ac:dyDescent="0.3">
      <c r="B185" s="44" t="s">
        <v>61</v>
      </c>
      <c r="C185" s="45">
        <v>24</v>
      </c>
      <c r="D185" s="126" t="str">
        <f t="shared" si="16"/>
        <v>2h</v>
      </c>
      <c r="E185" s="46" t="s">
        <v>139</v>
      </c>
      <c r="F185" s="222"/>
      <c r="G185" s="223"/>
      <c r="H185" s="152"/>
    </row>
    <row r="186" spans="2:8" s="43" customFormat="1" x14ac:dyDescent="0.3">
      <c r="B186" s="44"/>
      <c r="C186" s="45"/>
      <c r="D186" s="126" t="str">
        <f t="shared" si="16"/>
        <v/>
      </c>
      <c r="E186" s="46"/>
      <c r="F186" s="222"/>
      <c r="G186" s="223"/>
      <c r="H186" s="152"/>
    </row>
    <row r="187" spans="2:8" s="43" customFormat="1" x14ac:dyDescent="0.3">
      <c r="B187" s="44"/>
      <c r="C187" s="45"/>
      <c r="D187" s="126" t="str">
        <f t="shared" si="16"/>
        <v/>
      </c>
      <c r="E187" s="46"/>
      <c r="F187" s="222"/>
      <c r="G187" s="223"/>
      <c r="H187" s="152"/>
    </row>
    <row r="188" spans="2:8" s="43" customFormat="1" x14ac:dyDescent="0.3">
      <c r="B188" s="44"/>
      <c r="C188" s="45"/>
      <c r="D188" s="126" t="str">
        <f t="shared" si="16"/>
        <v/>
      </c>
      <c r="E188" s="46"/>
      <c r="F188" s="222"/>
      <c r="G188" s="223"/>
      <c r="H188" s="152"/>
    </row>
    <row r="189" spans="2:8" s="43" customFormat="1" x14ac:dyDescent="0.3">
      <c r="B189" s="44"/>
      <c r="C189" s="45"/>
      <c r="D189" s="126" t="str">
        <f t="shared" si="16"/>
        <v/>
      </c>
      <c r="E189" s="46"/>
      <c r="F189" s="222"/>
      <c r="G189" s="223"/>
      <c r="H189" s="152"/>
    </row>
    <row r="190" spans="2:8" s="43" customFormat="1" x14ac:dyDescent="0.3">
      <c r="B190" s="44"/>
      <c r="C190" s="45"/>
      <c r="D190" s="126" t="str">
        <f t="shared" si="16"/>
        <v/>
      </c>
      <c r="E190" s="46"/>
      <c r="F190" s="222"/>
      <c r="G190" s="223"/>
      <c r="H190" s="152"/>
    </row>
    <row r="191" spans="2:8" s="43" customFormat="1" ht="15" thickBot="1" x14ac:dyDescent="0.35">
      <c r="B191" s="44" t="s">
        <v>41</v>
      </c>
      <c r="C191" s="47">
        <v>1</v>
      </c>
      <c r="D191" s="126" t="str">
        <f t="shared" si="16"/>
        <v xml:space="preserve"> 5 min</v>
      </c>
      <c r="E191" s="48" t="s">
        <v>73</v>
      </c>
      <c r="F191" s="226"/>
      <c r="G191" s="227"/>
      <c r="H191" s="152"/>
    </row>
    <row r="192" spans="2:8" s="43" customFormat="1" ht="15" thickBot="1" x14ac:dyDescent="0.35">
      <c r="B192" s="86" t="s">
        <v>25</v>
      </c>
      <c r="C192" s="67">
        <f>SUM(C184:C191)</f>
        <v>28</v>
      </c>
      <c r="D192" s="86" t="str">
        <f xml:space="preserve"> setValueToTime(C192)</f>
        <v>2h 20 min</v>
      </c>
      <c r="E192" s="95"/>
      <c r="F192" s="224"/>
      <c r="G192" s="225"/>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8" t="s">
        <v>12</v>
      </c>
      <c r="G195" s="219"/>
      <c r="H195" s="151"/>
    </row>
    <row r="196" spans="2:8" s="43" customFormat="1" x14ac:dyDescent="0.3">
      <c r="B196" s="44" t="s">
        <v>64</v>
      </c>
      <c r="C196" s="45">
        <v>9</v>
      </c>
      <c r="D196" s="126" t="str">
        <f t="shared" ref="D196:D203" si="17" xml:space="preserve"> setValueToTime(C196)</f>
        <v xml:space="preserve"> 45 min</v>
      </c>
      <c r="E196" s="46" t="s">
        <v>90</v>
      </c>
      <c r="F196" s="220"/>
      <c r="G196" s="221"/>
      <c r="H196" s="152"/>
    </row>
    <row r="197" spans="2:8" s="43" customFormat="1" x14ac:dyDescent="0.3">
      <c r="B197" s="44" t="s">
        <v>64</v>
      </c>
      <c r="C197" s="45">
        <v>12</v>
      </c>
      <c r="D197" s="126" t="str">
        <f t="shared" si="17"/>
        <v>1h</v>
      </c>
      <c r="E197" s="46" t="s">
        <v>137</v>
      </c>
      <c r="F197" s="222"/>
      <c r="G197" s="223"/>
      <c r="H197" s="152"/>
    </row>
    <row r="198" spans="2:8" s="43" customFormat="1" x14ac:dyDescent="0.3">
      <c r="B198" s="44" t="s">
        <v>51</v>
      </c>
      <c r="C198" s="45">
        <v>6</v>
      </c>
      <c r="D198" s="126" t="str">
        <f t="shared" si="17"/>
        <v xml:space="preserve"> 30 min</v>
      </c>
      <c r="E198" s="46" t="s">
        <v>138</v>
      </c>
      <c r="F198" s="222"/>
      <c r="G198" s="223"/>
      <c r="H198" s="152"/>
    </row>
    <row r="199" spans="2:8" s="43" customFormat="1" x14ac:dyDescent="0.3">
      <c r="B199" s="44"/>
      <c r="C199" s="45"/>
      <c r="D199" s="126" t="str">
        <f t="shared" si="17"/>
        <v/>
      </c>
      <c r="E199" s="46"/>
      <c r="F199" s="222"/>
      <c r="G199" s="223"/>
      <c r="H199" s="152"/>
    </row>
    <row r="200" spans="2:8" s="43" customFormat="1" x14ac:dyDescent="0.3">
      <c r="B200" s="44"/>
      <c r="C200" s="45"/>
      <c r="D200" s="126" t="str">
        <f t="shared" si="17"/>
        <v/>
      </c>
      <c r="E200" s="46"/>
      <c r="F200" s="222"/>
      <c r="G200" s="223"/>
      <c r="H200" s="152"/>
    </row>
    <row r="201" spans="2:8" s="43" customFormat="1" x14ac:dyDescent="0.3">
      <c r="B201" s="44"/>
      <c r="C201" s="45"/>
      <c r="D201" s="126" t="str">
        <f t="shared" si="17"/>
        <v/>
      </c>
      <c r="E201" s="46"/>
      <c r="F201" s="222"/>
      <c r="G201" s="223"/>
      <c r="H201" s="152"/>
    </row>
    <row r="202" spans="2:8" s="43" customFormat="1" x14ac:dyDescent="0.3">
      <c r="B202" s="44"/>
      <c r="C202" s="45"/>
      <c r="D202" s="126" t="str">
        <f t="shared" si="17"/>
        <v/>
      </c>
      <c r="E202" s="46"/>
      <c r="F202" s="222"/>
      <c r="G202" s="223"/>
      <c r="H202" s="152"/>
    </row>
    <row r="203" spans="2:8" s="43" customFormat="1" ht="15" thickBot="1" x14ac:dyDescent="0.35">
      <c r="B203" s="44" t="s">
        <v>41</v>
      </c>
      <c r="C203" s="47">
        <v>1</v>
      </c>
      <c r="D203" s="126" t="str">
        <f t="shared" si="17"/>
        <v xml:space="preserve"> 5 min</v>
      </c>
      <c r="E203" s="48" t="s">
        <v>73</v>
      </c>
      <c r="F203" s="226"/>
      <c r="G203" s="227"/>
      <c r="H203" s="152"/>
    </row>
    <row r="204" spans="2:8" s="43" customFormat="1" ht="15" thickBot="1" x14ac:dyDescent="0.35">
      <c r="B204" s="86" t="s">
        <v>25</v>
      </c>
      <c r="C204" s="67">
        <f>SUM(C196:C203)</f>
        <v>28</v>
      </c>
      <c r="D204" s="86" t="str">
        <f t="shared" ref="D204" si="18" xml:space="preserve"> setValueToTime(C204)</f>
        <v>2h 20 min</v>
      </c>
      <c r="E204" s="95"/>
      <c r="F204" s="224"/>
      <c r="G204" s="225"/>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8" t="s">
        <v>12</v>
      </c>
      <c r="G207" s="219"/>
      <c r="H207" s="151"/>
    </row>
    <row r="208" spans="2:8" s="43" customFormat="1" x14ac:dyDescent="0.3">
      <c r="B208" s="40" t="s">
        <v>50</v>
      </c>
      <c r="C208" s="41">
        <v>12</v>
      </c>
      <c r="D208" s="126" t="str">
        <f t="shared" ref="D208:D215" si="19" xml:space="preserve"> setValueToTime(C208)</f>
        <v>1h</v>
      </c>
      <c r="E208" s="42" t="s">
        <v>88</v>
      </c>
      <c r="F208" s="220"/>
      <c r="G208" s="221"/>
      <c r="H208" s="152"/>
    </row>
    <row r="209" spans="2:8" s="43" customFormat="1" x14ac:dyDescent="0.3">
      <c r="B209" s="44" t="s">
        <v>60</v>
      </c>
      <c r="C209" s="45">
        <v>12</v>
      </c>
      <c r="D209" s="126" t="str">
        <f t="shared" si="19"/>
        <v>1h</v>
      </c>
      <c r="E209" s="46" t="s">
        <v>89</v>
      </c>
      <c r="F209" s="222"/>
      <c r="G209" s="223"/>
      <c r="H209" s="152"/>
    </row>
    <row r="210" spans="2:8" s="43" customFormat="1" x14ac:dyDescent="0.3">
      <c r="B210" s="44" t="s">
        <v>66</v>
      </c>
      <c r="C210" s="45">
        <v>20</v>
      </c>
      <c r="D210" s="126" t="str">
        <f t="shared" si="19"/>
        <v>1h 40 min</v>
      </c>
      <c r="E210" s="46" t="s">
        <v>134</v>
      </c>
      <c r="F210" s="222"/>
      <c r="G210" s="223"/>
      <c r="H210" s="152"/>
    </row>
    <row r="211" spans="2:8" s="43" customFormat="1" x14ac:dyDescent="0.3">
      <c r="B211" s="44" t="s">
        <v>64</v>
      </c>
      <c r="C211" s="45">
        <v>3</v>
      </c>
      <c r="D211" s="126" t="str">
        <f t="shared" si="19"/>
        <v xml:space="preserve"> 15 min</v>
      </c>
      <c r="E211" s="46" t="s">
        <v>90</v>
      </c>
      <c r="F211" s="222"/>
      <c r="G211" s="223"/>
      <c r="H211" s="152"/>
    </row>
    <row r="212" spans="2:8" s="43" customFormat="1" x14ac:dyDescent="0.3">
      <c r="B212" s="44"/>
      <c r="C212" s="45"/>
      <c r="D212" s="126" t="str">
        <f t="shared" si="19"/>
        <v/>
      </c>
      <c r="E212" s="46"/>
      <c r="F212" s="222"/>
      <c r="G212" s="223"/>
      <c r="H212" s="152"/>
    </row>
    <row r="213" spans="2:8" s="43" customFormat="1" x14ac:dyDescent="0.3">
      <c r="B213" s="44"/>
      <c r="C213" s="45"/>
      <c r="D213" s="126" t="str">
        <f t="shared" si="19"/>
        <v/>
      </c>
      <c r="E213" s="46"/>
      <c r="F213" s="222"/>
      <c r="G213" s="223"/>
      <c r="H213" s="152"/>
    </row>
    <row r="214" spans="2:8" s="43" customFormat="1" x14ac:dyDescent="0.3">
      <c r="B214" s="44"/>
      <c r="C214" s="45"/>
      <c r="D214" s="126" t="str">
        <f t="shared" si="19"/>
        <v/>
      </c>
      <c r="E214" s="46"/>
      <c r="F214" s="222"/>
      <c r="G214" s="223"/>
      <c r="H214" s="152"/>
    </row>
    <row r="215" spans="2:8" s="43" customFormat="1" ht="15" thickBot="1" x14ac:dyDescent="0.35">
      <c r="B215" s="44" t="s">
        <v>41</v>
      </c>
      <c r="C215" s="47">
        <v>1</v>
      </c>
      <c r="D215" s="126" t="str">
        <f t="shared" si="19"/>
        <v xml:space="preserve"> 5 min</v>
      </c>
      <c r="E215" s="48" t="s">
        <v>73</v>
      </c>
      <c r="F215" s="226"/>
      <c r="G215" s="227"/>
      <c r="H215" s="152"/>
    </row>
    <row r="216" spans="2:8" s="43" customFormat="1" ht="15" thickBot="1" x14ac:dyDescent="0.35">
      <c r="B216" s="86" t="s">
        <v>25</v>
      </c>
      <c r="C216" s="67">
        <f>SUM(C208:C215)</f>
        <v>48</v>
      </c>
      <c r="D216" s="86" t="str">
        <f xml:space="preserve"> setValueToTime(C216)</f>
        <v>4h</v>
      </c>
      <c r="E216" s="95"/>
      <c r="F216" s="224"/>
      <c r="G216" s="225"/>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8" t="s">
        <v>12</v>
      </c>
      <c r="G219" s="219"/>
      <c r="H219" s="151"/>
    </row>
    <row r="220" spans="2:8" s="43" customFormat="1" ht="27" x14ac:dyDescent="0.3">
      <c r="B220" s="44" t="s">
        <v>67</v>
      </c>
      <c r="C220" s="45">
        <v>18</v>
      </c>
      <c r="D220" s="126" t="str">
        <f t="shared" ref="D220:D227" si="20" xml:space="preserve"> setValueToTime(C220)</f>
        <v>1h 30 min</v>
      </c>
      <c r="E220" s="46" t="s">
        <v>86</v>
      </c>
      <c r="F220" s="220"/>
      <c r="G220" s="221"/>
      <c r="H220" s="152"/>
    </row>
    <row r="221" spans="2:8" s="43" customFormat="1" ht="27" x14ac:dyDescent="0.3">
      <c r="B221" s="44" t="s">
        <v>67</v>
      </c>
      <c r="C221" s="45">
        <v>15</v>
      </c>
      <c r="D221" s="126" t="str">
        <f t="shared" si="20"/>
        <v>1h 15 min</v>
      </c>
      <c r="E221" s="46" t="s">
        <v>87</v>
      </c>
      <c r="F221" s="222"/>
      <c r="G221" s="223"/>
      <c r="H221" s="152"/>
    </row>
    <row r="222" spans="2:8" s="43" customFormat="1" x14ac:dyDescent="0.3">
      <c r="B222" s="44" t="s">
        <v>51</v>
      </c>
      <c r="C222" s="45">
        <v>4</v>
      </c>
      <c r="D222" s="126" t="str">
        <f t="shared" si="20"/>
        <v xml:space="preserve"> 20 min</v>
      </c>
      <c r="E222" s="46" t="s">
        <v>167</v>
      </c>
      <c r="F222" s="222"/>
      <c r="G222" s="223"/>
      <c r="H222" s="152"/>
    </row>
    <row r="223" spans="2:8" s="43" customFormat="1" x14ac:dyDescent="0.3">
      <c r="B223" s="44"/>
      <c r="C223" s="45"/>
      <c r="D223" s="126" t="str">
        <f t="shared" si="20"/>
        <v/>
      </c>
      <c r="E223" s="46"/>
      <c r="F223" s="222"/>
      <c r="G223" s="223"/>
      <c r="H223" s="152"/>
    </row>
    <row r="224" spans="2:8" s="43" customFormat="1" x14ac:dyDescent="0.3">
      <c r="B224" s="44"/>
      <c r="C224" s="45"/>
      <c r="D224" s="126" t="str">
        <f t="shared" si="20"/>
        <v/>
      </c>
      <c r="E224" s="46"/>
      <c r="F224" s="222"/>
      <c r="G224" s="223"/>
      <c r="H224" s="152"/>
    </row>
    <row r="225" spans="2:8" s="43" customFormat="1" x14ac:dyDescent="0.3">
      <c r="B225" s="44"/>
      <c r="C225" s="45"/>
      <c r="D225" s="126" t="str">
        <f t="shared" si="20"/>
        <v/>
      </c>
      <c r="E225" s="46"/>
      <c r="F225" s="222"/>
      <c r="G225" s="223"/>
      <c r="H225" s="152"/>
    </row>
    <row r="226" spans="2:8" s="43" customFormat="1" x14ac:dyDescent="0.3">
      <c r="B226" s="44"/>
      <c r="C226" s="45"/>
      <c r="D226" s="126" t="str">
        <f t="shared" si="20"/>
        <v/>
      </c>
      <c r="E226" s="46"/>
      <c r="F226" s="222"/>
      <c r="G226" s="223"/>
      <c r="H226" s="152"/>
    </row>
    <row r="227" spans="2:8" s="43" customFormat="1" ht="15" thickBot="1" x14ac:dyDescent="0.35">
      <c r="B227" s="44" t="s">
        <v>41</v>
      </c>
      <c r="C227" s="47">
        <v>1</v>
      </c>
      <c r="D227" s="126" t="str">
        <f t="shared" si="20"/>
        <v xml:space="preserve"> 5 min</v>
      </c>
      <c r="E227" s="48" t="s">
        <v>73</v>
      </c>
      <c r="F227" s="226"/>
      <c r="G227" s="227"/>
      <c r="H227" s="152"/>
    </row>
    <row r="228" spans="2:8" s="43" customFormat="1" ht="15" thickBot="1" x14ac:dyDescent="0.35">
      <c r="B228" s="86" t="s">
        <v>25</v>
      </c>
      <c r="C228" s="67">
        <f>SUM(C220:C227)</f>
        <v>38</v>
      </c>
      <c r="D228" s="86" t="str">
        <f xml:space="preserve"> setValueToTime(C228)</f>
        <v>3h 10 min</v>
      </c>
      <c r="E228" s="95"/>
      <c r="F228" s="224"/>
      <c r="G228" s="225"/>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8" t="s">
        <v>12</v>
      </c>
      <c r="G231" s="219"/>
      <c r="H231" s="151"/>
    </row>
    <row r="232" spans="2:8" s="43" customFormat="1" x14ac:dyDescent="0.3">
      <c r="B232" s="40" t="s">
        <v>61</v>
      </c>
      <c r="C232" s="41">
        <v>18</v>
      </c>
      <c r="D232" s="126" t="str">
        <f t="shared" ref="D232:D239" si="21" xml:space="preserve"> setValueToTime(C232)</f>
        <v>1h 30 min</v>
      </c>
      <c r="E232" s="42" t="s">
        <v>83</v>
      </c>
      <c r="F232" s="220"/>
      <c r="G232" s="221"/>
      <c r="H232" s="152"/>
    </row>
    <row r="233" spans="2:8" s="43" customFormat="1" x14ac:dyDescent="0.3">
      <c r="B233" s="44" t="s">
        <v>61</v>
      </c>
      <c r="C233" s="45">
        <v>18</v>
      </c>
      <c r="D233" s="126" t="str">
        <f t="shared" si="21"/>
        <v>1h 30 min</v>
      </c>
      <c r="E233" s="46" t="s">
        <v>84</v>
      </c>
      <c r="F233" s="222"/>
      <c r="G233" s="223"/>
      <c r="H233" s="152"/>
    </row>
    <row r="234" spans="2:8" s="43" customFormat="1" x14ac:dyDescent="0.3">
      <c r="B234" s="44" t="s">
        <v>51</v>
      </c>
      <c r="C234" s="45">
        <v>2</v>
      </c>
      <c r="D234" s="126" t="str">
        <f t="shared" si="21"/>
        <v xml:space="preserve"> 10 min</v>
      </c>
      <c r="E234" s="46" t="s">
        <v>162</v>
      </c>
      <c r="F234" s="222"/>
      <c r="G234" s="223"/>
      <c r="H234" s="152"/>
    </row>
    <row r="235" spans="2:8" s="43" customFormat="1" x14ac:dyDescent="0.3">
      <c r="B235" s="44" t="s">
        <v>61</v>
      </c>
      <c r="C235" s="45">
        <v>9</v>
      </c>
      <c r="D235" s="126" t="str">
        <f t="shared" si="21"/>
        <v xml:space="preserve"> 45 min</v>
      </c>
      <c r="E235" s="46" t="s">
        <v>85</v>
      </c>
      <c r="F235" s="222"/>
      <c r="G235" s="223"/>
      <c r="H235" s="152"/>
    </row>
    <row r="236" spans="2:8" s="43" customFormat="1" x14ac:dyDescent="0.3">
      <c r="B236" s="44"/>
      <c r="C236" s="45"/>
      <c r="D236" s="126" t="str">
        <f t="shared" si="21"/>
        <v/>
      </c>
      <c r="E236" s="46"/>
      <c r="F236" s="222"/>
      <c r="G236" s="223"/>
      <c r="H236" s="152"/>
    </row>
    <row r="237" spans="2:8" s="43" customFormat="1" x14ac:dyDescent="0.3">
      <c r="B237" s="44"/>
      <c r="C237" s="45"/>
      <c r="D237" s="126" t="str">
        <f t="shared" si="21"/>
        <v/>
      </c>
      <c r="E237" s="46"/>
      <c r="F237" s="222"/>
      <c r="G237" s="223"/>
      <c r="H237" s="152"/>
    </row>
    <row r="238" spans="2:8" s="43" customFormat="1" x14ac:dyDescent="0.3">
      <c r="B238" s="44"/>
      <c r="C238" s="45"/>
      <c r="D238" s="126" t="str">
        <f t="shared" si="21"/>
        <v/>
      </c>
      <c r="E238" s="46"/>
      <c r="F238" s="222"/>
      <c r="G238" s="223"/>
      <c r="H238" s="152"/>
    </row>
    <row r="239" spans="2:8" s="43" customFormat="1" ht="15" thickBot="1" x14ac:dyDescent="0.35">
      <c r="B239" s="44" t="s">
        <v>41</v>
      </c>
      <c r="C239" s="47">
        <v>1</v>
      </c>
      <c r="D239" s="126" t="str">
        <f t="shared" si="21"/>
        <v xml:space="preserve"> 5 min</v>
      </c>
      <c r="E239" s="48" t="s">
        <v>73</v>
      </c>
      <c r="F239" s="226"/>
      <c r="G239" s="227"/>
      <c r="H239" s="152"/>
    </row>
    <row r="240" spans="2:8" s="43" customFormat="1" ht="15" thickBot="1" x14ac:dyDescent="0.35">
      <c r="B240" s="86" t="s">
        <v>25</v>
      </c>
      <c r="C240" s="67">
        <f>SUM(C232:C239)</f>
        <v>48</v>
      </c>
      <c r="D240" s="86" t="str">
        <f xml:space="preserve"> setValueToTime(C240)</f>
        <v>4h</v>
      </c>
      <c r="E240" s="95"/>
      <c r="F240" s="224"/>
      <c r="G240" s="225"/>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8" t="s">
        <v>12</v>
      </c>
      <c r="G243" s="219"/>
      <c r="H243" s="151"/>
    </row>
    <row r="244" spans="2:8" s="43" customFormat="1" x14ac:dyDescent="0.3">
      <c r="B244" s="40" t="s">
        <v>59</v>
      </c>
      <c r="C244" s="41">
        <v>15</v>
      </c>
      <c r="D244" s="126" t="str">
        <f t="shared" ref="D244:D251" si="22" xml:space="preserve"> setValueToTime(C244)</f>
        <v>1h 15 min</v>
      </c>
      <c r="E244" s="42" t="s">
        <v>136</v>
      </c>
      <c r="F244" s="220"/>
      <c r="G244" s="221"/>
      <c r="H244" s="152"/>
    </row>
    <row r="245" spans="2:8" s="43" customFormat="1" x14ac:dyDescent="0.3">
      <c r="B245" s="44" t="s">
        <v>66</v>
      </c>
      <c r="C245" s="45">
        <v>15</v>
      </c>
      <c r="D245" s="126" t="str">
        <f t="shared" si="22"/>
        <v>1h 15 min</v>
      </c>
      <c r="E245" s="46" t="s">
        <v>135</v>
      </c>
      <c r="F245" s="222"/>
      <c r="G245" s="223"/>
      <c r="H245" s="152"/>
    </row>
    <row r="246" spans="2:8" s="43" customFormat="1" x14ac:dyDescent="0.3">
      <c r="B246" s="44" t="s">
        <v>51</v>
      </c>
      <c r="C246" s="45">
        <v>4</v>
      </c>
      <c r="D246" s="126" t="str">
        <f t="shared" si="22"/>
        <v xml:space="preserve"> 20 min</v>
      </c>
      <c r="E246" s="46" t="s">
        <v>168</v>
      </c>
      <c r="F246" s="222"/>
      <c r="G246" s="223"/>
      <c r="H246" s="152"/>
    </row>
    <row r="247" spans="2:8" s="43" customFormat="1" ht="27" x14ac:dyDescent="0.3">
      <c r="B247" s="44" t="s">
        <v>42</v>
      </c>
      <c r="C247" s="45">
        <v>3</v>
      </c>
      <c r="D247" s="126" t="str">
        <f t="shared" si="22"/>
        <v xml:space="preserve"> 15 min</v>
      </c>
      <c r="E247" s="46" t="s">
        <v>161</v>
      </c>
      <c r="F247" s="222"/>
      <c r="G247" s="223"/>
      <c r="H247" s="152"/>
    </row>
    <row r="248" spans="2:8" s="43" customFormat="1" x14ac:dyDescent="0.3">
      <c r="B248" s="44"/>
      <c r="C248" s="45"/>
      <c r="D248" s="126" t="str">
        <f t="shared" si="22"/>
        <v/>
      </c>
      <c r="E248" s="46"/>
      <c r="F248" s="222"/>
      <c r="G248" s="223"/>
      <c r="H248" s="152"/>
    </row>
    <row r="249" spans="2:8" s="43" customFormat="1" x14ac:dyDescent="0.3">
      <c r="B249" s="44"/>
      <c r="C249" s="45"/>
      <c r="D249" s="126" t="str">
        <f t="shared" si="22"/>
        <v/>
      </c>
      <c r="E249" s="46"/>
      <c r="F249" s="222"/>
      <c r="G249" s="223"/>
      <c r="H249" s="152"/>
    </row>
    <row r="250" spans="2:8" s="43" customFormat="1" x14ac:dyDescent="0.3">
      <c r="B250" s="44"/>
      <c r="C250" s="45"/>
      <c r="D250" s="126" t="str">
        <f t="shared" si="22"/>
        <v/>
      </c>
      <c r="E250" s="46"/>
      <c r="F250" s="222"/>
      <c r="G250" s="223"/>
      <c r="H250" s="152"/>
    </row>
    <row r="251" spans="2:8" s="43" customFormat="1" ht="15" thickBot="1" x14ac:dyDescent="0.35">
      <c r="B251" s="44" t="s">
        <v>41</v>
      </c>
      <c r="C251" s="47">
        <v>1</v>
      </c>
      <c r="D251" s="126" t="str">
        <f t="shared" si="22"/>
        <v xml:space="preserve"> 5 min</v>
      </c>
      <c r="E251" s="48" t="s">
        <v>73</v>
      </c>
      <c r="F251" s="226"/>
      <c r="G251" s="227"/>
      <c r="H251" s="152"/>
    </row>
    <row r="252" spans="2:8" s="43" customFormat="1" ht="15" thickBot="1" x14ac:dyDescent="0.35">
      <c r="B252" s="86" t="s">
        <v>25</v>
      </c>
      <c r="C252" s="67">
        <f>SUM(C244:C251)</f>
        <v>38</v>
      </c>
      <c r="D252" s="86" t="str">
        <f xml:space="preserve"> setValueToTime(C252)</f>
        <v>3h 10 min</v>
      </c>
      <c r="E252" s="95"/>
      <c r="F252" s="224"/>
      <c r="G252" s="225"/>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8" t="s">
        <v>12</v>
      </c>
      <c r="G255" s="219"/>
      <c r="H255" s="151"/>
    </row>
    <row r="256" spans="2:8" s="43" customFormat="1" x14ac:dyDescent="0.3">
      <c r="B256" s="40" t="s">
        <v>50</v>
      </c>
      <c r="C256" s="41">
        <v>17</v>
      </c>
      <c r="D256" s="126" t="str">
        <f t="shared" ref="D256:D263" si="23" xml:space="preserve"> setValueToTime(C256)</f>
        <v>1h 25 min</v>
      </c>
      <c r="E256" s="42" t="s">
        <v>81</v>
      </c>
      <c r="F256" s="220"/>
      <c r="G256" s="221"/>
      <c r="H256" s="152"/>
    </row>
    <row r="257" spans="2:8" s="43" customFormat="1" x14ac:dyDescent="0.3">
      <c r="B257" s="44" t="s">
        <v>60</v>
      </c>
      <c r="C257" s="45">
        <v>30</v>
      </c>
      <c r="D257" s="126" t="str">
        <f t="shared" si="23"/>
        <v>2h 30 min</v>
      </c>
      <c r="E257" s="46" t="s">
        <v>82</v>
      </c>
      <c r="F257" s="222"/>
      <c r="G257" s="223"/>
      <c r="H257" s="152"/>
    </row>
    <row r="258" spans="2:8" s="43" customFormat="1" x14ac:dyDescent="0.3">
      <c r="B258" s="44"/>
      <c r="C258" s="45"/>
      <c r="D258" s="126" t="str">
        <f t="shared" si="23"/>
        <v/>
      </c>
      <c r="E258" s="46"/>
      <c r="F258" s="222"/>
      <c r="G258" s="223"/>
      <c r="H258" s="152"/>
    </row>
    <row r="259" spans="2:8" s="43" customFormat="1" x14ac:dyDescent="0.3">
      <c r="B259" s="44"/>
      <c r="C259" s="45"/>
      <c r="D259" s="126" t="str">
        <f t="shared" si="23"/>
        <v/>
      </c>
      <c r="E259" s="46"/>
      <c r="F259" s="222"/>
      <c r="G259" s="223"/>
      <c r="H259" s="152"/>
    </row>
    <row r="260" spans="2:8" s="43" customFormat="1" x14ac:dyDescent="0.3">
      <c r="B260" s="44"/>
      <c r="C260" s="45"/>
      <c r="D260" s="126" t="str">
        <f t="shared" si="23"/>
        <v/>
      </c>
      <c r="E260" s="46"/>
      <c r="F260" s="222"/>
      <c r="G260" s="223"/>
      <c r="H260" s="152"/>
    </row>
    <row r="261" spans="2:8" s="43" customFormat="1" x14ac:dyDescent="0.3">
      <c r="B261" s="44"/>
      <c r="C261" s="45"/>
      <c r="D261" s="126" t="str">
        <f t="shared" si="23"/>
        <v/>
      </c>
      <c r="E261" s="46"/>
      <c r="F261" s="222"/>
      <c r="G261" s="223"/>
      <c r="H261" s="152"/>
    </row>
    <row r="262" spans="2:8" s="43" customFormat="1" x14ac:dyDescent="0.3">
      <c r="B262" s="44"/>
      <c r="C262" s="45"/>
      <c r="D262" s="126" t="str">
        <f t="shared" si="23"/>
        <v/>
      </c>
      <c r="E262" s="46"/>
      <c r="F262" s="222"/>
      <c r="G262" s="223"/>
      <c r="H262" s="152"/>
    </row>
    <row r="263" spans="2:8" s="43" customFormat="1" ht="15" thickBot="1" x14ac:dyDescent="0.35">
      <c r="B263" s="44" t="s">
        <v>41</v>
      </c>
      <c r="C263" s="47">
        <v>1</v>
      </c>
      <c r="D263" s="126" t="str">
        <f t="shared" si="23"/>
        <v xml:space="preserve"> 5 min</v>
      </c>
      <c r="E263" s="48" t="s">
        <v>73</v>
      </c>
      <c r="F263" s="226"/>
      <c r="G263" s="227"/>
      <c r="H263" s="152"/>
    </row>
    <row r="264" spans="2:8" s="43" customFormat="1" ht="15" thickBot="1" x14ac:dyDescent="0.35">
      <c r="B264" s="86" t="s">
        <v>25</v>
      </c>
      <c r="C264" s="67">
        <f>SUM(C256:C263)</f>
        <v>48</v>
      </c>
      <c r="D264" s="86" t="str">
        <f xml:space="preserve"> setValueToTime(C264)</f>
        <v>4h</v>
      </c>
      <c r="E264" s="95"/>
      <c r="F264" s="224"/>
      <c r="G264" s="225"/>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8" t="s">
        <v>12</v>
      </c>
      <c r="G267" s="219"/>
      <c r="H267" s="151"/>
    </row>
    <row r="268" spans="2:8" s="43" customFormat="1" x14ac:dyDescent="0.3">
      <c r="B268" s="40" t="s">
        <v>55</v>
      </c>
      <c r="C268" s="41">
        <v>27</v>
      </c>
      <c r="D268" s="126" t="str">
        <f t="shared" ref="D268:D275" si="24" xml:space="preserve"> setValueToTime(C268)</f>
        <v>2h 15 min</v>
      </c>
      <c r="E268" s="42" t="s">
        <v>80</v>
      </c>
      <c r="F268" s="220"/>
      <c r="G268" s="221"/>
      <c r="H268" s="152"/>
    </row>
    <row r="269" spans="2:8" s="43" customFormat="1" x14ac:dyDescent="0.3">
      <c r="B269" s="44"/>
      <c r="C269" s="45"/>
      <c r="D269" s="126" t="str">
        <f t="shared" si="24"/>
        <v/>
      </c>
      <c r="E269" s="46"/>
      <c r="F269" s="222"/>
      <c r="G269" s="223"/>
      <c r="H269" s="152"/>
    </row>
    <row r="270" spans="2:8" s="43" customFormat="1" x14ac:dyDescent="0.3">
      <c r="B270" s="44"/>
      <c r="C270" s="45"/>
      <c r="D270" s="126" t="str">
        <f t="shared" si="24"/>
        <v/>
      </c>
      <c r="E270" s="46"/>
      <c r="F270" s="222"/>
      <c r="G270" s="223"/>
      <c r="H270" s="152"/>
    </row>
    <row r="271" spans="2:8" s="43" customFormat="1" x14ac:dyDescent="0.3">
      <c r="B271" s="44"/>
      <c r="C271" s="45"/>
      <c r="D271" s="126" t="str">
        <f t="shared" si="24"/>
        <v/>
      </c>
      <c r="E271" s="46"/>
      <c r="F271" s="222"/>
      <c r="G271" s="223"/>
      <c r="H271" s="152"/>
    </row>
    <row r="272" spans="2:8" s="43" customFormat="1" x14ac:dyDescent="0.3">
      <c r="B272" s="44"/>
      <c r="C272" s="45"/>
      <c r="D272" s="126" t="str">
        <f t="shared" si="24"/>
        <v/>
      </c>
      <c r="E272" s="46"/>
      <c r="F272" s="222"/>
      <c r="G272" s="223"/>
      <c r="H272" s="152"/>
    </row>
    <row r="273" spans="2:8" s="43" customFormat="1" x14ac:dyDescent="0.3">
      <c r="B273" s="44"/>
      <c r="C273" s="45"/>
      <c r="D273" s="126" t="str">
        <f t="shared" si="24"/>
        <v/>
      </c>
      <c r="E273" s="46"/>
      <c r="F273" s="222"/>
      <c r="G273" s="223"/>
      <c r="H273" s="152"/>
    </row>
    <row r="274" spans="2:8" s="43" customFormat="1" x14ac:dyDescent="0.3">
      <c r="B274" s="44"/>
      <c r="C274" s="45"/>
      <c r="D274" s="126" t="str">
        <f t="shared" si="24"/>
        <v/>
      </c>
      <c r="E274" s="46"/>
      <c r="F274" s="222"/>
      <c r="G274" s="223"/>
      <c r="H274" s="152"/>
    </row>
    <row r="275" spans="2:8" s="43" customFormat="1" ht="15" thickBot="1" x14ac:dyDescent="0.35">
      <c r="B275" s="44" t="s">
        <v>41</v>
      </c>
      <c r="C275" s="47">
        <v>1</v>
      </c>
      <c r="D275" s="126" t="str">
        <f t="shared" si="24"/>
        <v xml:space="preserve"> 5 min</v>
      </c>
      <c r="E275" s="48" t="s">
        <v>73</v>
      </c>
      <c r="F275" s="226"/>
      <c r="G275" s="227"/>
      <c r="H275" s="152"/>
    </row>
    <row r="276" spans="2:8" s="43" customFormat="1" ht="15" thickBot="1" x14ac:dyDescent="0.35">
      <c r="B276" s="86" t="s">
        <v>25</v>
      </c>
      <c r="C276" s="67">
        <f>SUM(C268:C275)</f>
        <v>28</v>
      </c>
      <c r="D276" s="86" t="str">
        <f xml:space="preserve"> setValueToTime(C276)</f>
        <v>2h 20 min</v>
      </c>
      <c r="E276" s="95"/>
      <c r="F276" s="224"/>
      <c r="G276" s="225"/>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8" t="s">
        <v>12</v>
      </c>
      <c r="G279" s="219"/>
      <c r="H279" s="151"/>
    </row>
    <row r="280" spans="2:8" s="43" customFormat="1" ht="27" x14ac:dyDescent="0.3">
      <c r="B280" s="40" t="s">
        <v>56</v>
      </c>
      <c r="C280" s="41">
        <v>13</v>
      </c>
      <c r="D280" s="126" t="str">
        <f t="shared" ref="D280:D287" si="25" xml:space="preserve"> setValueToTime(C280)</f>
        <v>1h 5 min</v>
      </c>
      <c r="E280" s="42" t="s">
        <v>79</v>
      </c>
      <c r="F280" s="220"/>
      <c r="G280" s="221"/>
      <c r="H280" s="152"/>
    </row>
    <row r="281" spans="2:8" s="43" customFormat="1" x14ac:dyDescent="0.3">
      <c r="B281" s="44" t="s">
        <v>55</v>
      </c>
      <c r="C281" s="45">
        <v>14</v>
      </c>
      <c r="D281" s="126" t="str">
        <f t="shared" si="25"/>
        <v>1h 10 min</v>
      </c>
      <c r="E281" s="46" t="s">
        <v>80</v>
      </c>
      <c r="F281" s="222"/>
      <c r="G281" s="223"/>
      <c r="H281" s="152"/>
    </row>
    <row r="282" spans="2:8" s="43" customFormat="1" x14ac:dyDescent="0.3">
      <c r="B282" s="44"/>
      <c r="C282" s="45"/>
      <c r="D282" s="126" t="str">
        <f t="shared" si="25"/>
        <v/>
      </c>
      <c r="E282" s="46"/>
      <c r="F282" s="222"/>
      <c r="G282" s="223"/>
      <c r="H282" s="152"/>
    </row>
    <row r="283" spans="2:8" s="43" customFormat="1" x14ac:dyDescent="0.3">
      <c r="B283" s="44"/>
      <c r="C283" s="45"/>
      <c r="D283" s="126" t="str">
        <f t="shared" si="25"/>
        <v/>
      </c>
      <c r="E283" s="46"/>
      <c r="F283" s="222"/>
      <c r="G283" s="223"/>
      <c r="H283" s="152"/>
    </row>
    <row r="284" spans="2:8" s="43" customFormat="1" x14ac:dyDescent="0.3">
      <c r="B284" s="44"/>
      <c r="C284" s="45"/>
      <c r="D284" s="126" t="str">
        <f t="shared" si="25"/>
        <v/>
      </c>
      <c r="E284" s="46"/>
      <c r="F284" s="222"/>
      <c r="G284" s="223"/>
      <c r="H284" s="152"/>
    </row>
    <row r="285" spans="2:8" s="43" customFormat="1" x14ac:dyDescent="0.3">
      <c r="B285" s="44"/>
      <c r="C285" s="45"/>
      <c r="D285" s="126" t="str">
        <f t="shared" si="25"/>
        <v/>
      </c>
      <c r="E285" s="46"/>
      <c r="F285" s="222"/>
      <c r="G285" s="223"/>
      <c r="H285" s="152"/>
    </row>
    <row r="286" spans="2:8" s="43" customFormat="1" x14ac:dyDescent="0.3">
      <c r="B286" s="44"/>
      <c r="C286" s="45"/>
      <c r="D286" s="126" t="str">
        <f t="shared" si="25"/>
        <v/>
      </c>
      <c r="E286" s="46"/>
      <c r="F286" s="222"/>
      <c r="G286" s="223"/>
      <c r="H286" s="152"/>
    </row>
    <row r="287" spans="2:8" s="43" customFormat="1" ht="15" thickBot="1" x14ac:dyDescent="0.35">
      <c r="B287" s="44" t="s">
        <v>41</v>
      </c>
      <c r="C287" s="47">
        <v>1</v>
      </c>
      <c r="D287" s="126" t="str">
        <f t="shared" si="25"/>
        <v xml:space="preserve"> 5 min</v>
      </c>
      <c r="E287" s="48" t="s">
        <v>73</v>
      </c>
      <c r="F287" s="226"/>
      <c r="G287" s="227"/>
      <c r="H287" s="152"/>
    </row>
    <row r="288" spans="2:8" s="43" customFormat="1" ht="15" thickBot="1" x14ac:dyDescent="0.35">
      <c r="B288" s="86" t="s">
        <v>25</v>
      </c>
      <c r="C288" s="67">
        <f>SUM(C280:C287)</f>
        <v>28</v>
      </c>
      <c r="D288" s="86" t="str">
        <f xml:space="preserve"> setValueToTime(C288)</f>
        <v>2h 20 min</v>
      </c>
      <c r="E288" s="95"/>
      <c r="F288" s="224"/>
      <c r="G288" s="225"/>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8" t="s">
        <v>12</v>
      </c>
      <c r="G291" s="219"/>
      <c r="H291" s="151"/>
    </row>
    <row r="292" spans="2:8" s="43" customFormat="1" x14ac:dyDescent="0.3">
      <c r="B292" s="40" t="s">
        <v>42</v>
      </c>
      <c r="C292" s="41">
        <v>20</v>
      </c>
      <c r="D292" s="126" t="str">
        <f t="shared" ref="D292:D299" si="26" xml:space="preserve"> setValueToTime(C292)</f>
        <v>1h 40 min</v>
      </c>
      <c r="E292" s="42" t="s">
        <v>160</v>
      </c>
      <c r="F292" s="220"/>
      <c r="G292" s="221"/>
      <c r="H292" s="152"/>
    </row>
    <row r="293" spans="2:8" s="43" customFormat="1" ht="27" x14ac:dyDescent="0.3">
      <c r="B293" s="44" t="s">
        <v>58</v>
      </c>
      <c r="C293" s="45">
        <v>11</v>
      </c>
      <c r="D293" s="126" t="str">
        <f t="shared" si="26"/>
        <v xml:space="preserve"> 55 min</v>
      </c>
      <c r="E293" s="46" t="s">
        <v>78</v>
      </c>
      <c r="F293" s="222"/>
      <c r="G293" s="223"/>
      <c r="H293" s="152"/>
    </row>
    <row r="294" spans="2:8" s="43" customFormat="1" x14ac:dyDescent="0.3">
      <c r="B294" s="44" t="s">
        <v>49</v>
      </c>
      <c r="C294" s="45">
        <v>16</v>
      </c>
      <c r="D294" s="126" t="str">
        <f t="shared" si="26"/>
        <v>1h 20 min</v>
      </c>
      <c r="E294" s="170" t="s">
        <v>150</v>
      </c>
      <c r="F294" s="222"/>
      <c r="G294" s="223"/>
      <c r="H294" s="152"/>
    </row>
    <row r="295" spans="2:8" s="43" customFormat="1" x14ac:dyDescent="0.3">
      <c r="B295" s="44"/>
      <c r="C295" s="45"/>
      <c r="D295" s="126" t="str">
        <f t="shared" si="26"/>
        <v/>
      </c>
      <c r="E295" s="46"/>
      <c r="F295" s="222"/>
      <c r="G295" s="223"/>
      <c r="H295" s="152"/>
    </row>
    <row r="296" spans="2:8" s="43" customFormat="1" x14ac:dyDescent="0.3">
      <c r="B296" s="44"/>
      <c r="C296" s="45"/>
      <c r="D296" s="126" t="str">
        <f t="shared" si="26"/>
        <v/>
      </c>
      <c r="E296" s="46"/>
      <c r="F296" s="222"/>
      <c r="G296" s="223"/>
      <c r="H296" s="152"/>
    </row>
    <row r="297" spans="2:8" s="43" customFormat="1" x14ac:dyDescent="0.3">
      <c r="B297" s="44"/>
      <c r="C297" s="45"/>
      <c r="D297" s="126" t="str">
        <f t="shared" si="26"/>
        <v/>
      </c>
      <c r="E297" s="46"/>
      <c r="F297" s="222"/>
      <c r="G297" s="223"/>
      <c r="H297" s="152"/>
    </row>
    <row r="298" spans="2:8" s="43" customFormat="1" x14ac:dyDescent="0.3">
      <c r="B298" s="44"/>
      <c r="C298" s="45"/>
      <c r="D298" s="126" t="str">
        <f t="shared" si="26"/>
        <v/>
      </c>
      <c r="E298" s="46"/>
      <c r="F298" s="222"/>
      <c r="G298" s="223"/>
      <c r="H298" s="152"/>
    </row>
    <row r="299" spans="2:8" s="43" customFormat="1" ht="15" thickBot="1" x14ac:dyDescent="0.35">
      <c r="B299" s="44" t="s">
        <v>41</v>
      </c>
      <c r="C299" s="47">
        <v>1</v>
      </c>
      <c r="D299" s="126" t="str">
        <f t="shared" si="26"/>
        <v xml:space="preserve"> 5 min</v>
      </c>
      <c r="E299" s="48" t="s">
        <v>73</v>
      </c>
      <c r="F299" s="226"/>
      <c r="G299" s="227"/>
      <c r="H299" s="152"/>
    </row>
    <row r="300" spans="2:8" s="43" customFormat="1" ht="15" thickBot="1" x14ac:dyDescent="0.35">
      <c r="B300" s="86" t="s">
        <v>25</v>
      </c>
      <c r="C300" s="67">
        <f>SUM(C292:C299)</f>
        <v>48</v>
      </c>
      <c r="D300" s="86" t="str">
        <f xml:space="preserve"> setValueToTime(C300)</f>
        <v>4h</v>
      </c>
      <c r="E300" s="95"/>
      <c r="F300" s="224"/>
      <c r="G300" s="225"/>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8" t="s">
        <v>12</v>
      </c>
      <c r="G303" s="219"/>
      <c r="H303" s="151"/>
    </row>
    <row r="304" spans="2:8" s="43" customFormat="1" ht="27" x14ac:dyDescent="0.3">
      <c r="B304" s="40" t="s">
        <v>48</v>
      </c>
      <c r="C304" s="41">
        <v>24</v>
      </c>
      <c r="D304" s="126" t="str">
        <f t="shared" ref="D304:D311" si="27" xml:space="preserve"> setValueToTime(C304)</f>
        <v>2h</v>
      </c>
      <c r="E304" s="42" t="s">
        <v>75</v>
      </c>
      <c r="F304" s="220"/>
      <c r="G304" s="221"/>
      <c r="H304" s="152"/>
    </row>
    <row r="305" spans="2:8" s="43" customFormat="1" ht="27" x14ac:dyDescent="0.3">
      <c r="B305" s="44" t="s">
        <v>58</v>
      </c>
      <c r="C305" s="45">
        <v>3</v>
      </c>
      <c r="D305" s="126" t="str">
        <f t="shared" si="27"/>
        <v xml:space="preserve"> 15 min</v>
      </c>
      <c r="E305" s="46" t="s">
        <v>154</v>
      </c>
      <c r="F305" s="222"/>
      <c r="G305" s="223"/>
      <c r="H305" s="152"/>
    </row>
    <row r="306" spans="2:8" s="43" customFormat="1" x14ac:dyDescent="0.3">
      <c r="B306" s="44"/>
      <c r="C306" s="45"/>
      <c r="D306" s="126" t="str">
        <f t="shared" si="27"/>
        <v/>
      </c>
      <c r="E306" s="46"/>
      <c r="F306" s="222"/>
      <c r="G306" s="223"/>
      <c r="H306" s="152"/>
    </row>
    <row r="307" spans="2:8" s="43" customFormat="1" x14ac:dyDescent="0.3">
      <c r="B307" s="44"/>
      <c r="C307" s="45"/>
      <c r="D307" s="126" t="str">
        <f t="shared" si="27"/>
        <v/>
      </c>
      <c r="E307" s="46"/>
      <c r="F307" s="222"/>
      <c r="G307" s="223"/>
      <c r="H307" s="152"/>
    </row>
    <row r="308" spans="2:8" s="43" customFormat="1" x14ac:dyDescent="0.3">
      <c r="B308" s="44"/>
      <c r="C308" s="45"/>
      <c r="D308" s="126" t="str">
        <f t="shared" si="27"/>
        <v/>
      </c>
      <c r="E308" s="46"/>
      <c r="F308" s="222"/>
      <c r="G308" s="223"/>
      <c r="H308" s="152"/>
    </row>
    <row r="309" spans="2:8" s="43" customFormat="1" x14ac:dyDescent="0.3">
      <c r="B309" s="44"/>
      <c r="C309" s="45"/>
      <c r="D309" s="126" t="str">
        <f t="shared" si="27"/>
        <v/>
      </c>
      <c r="E309" s="46"/>
      <c r="F309" s="222"/>
      <c r="G309" s="223"/>
      <c r="H309" s="152"/>
    </row>
    <row r="310" spans="2:8" s="43" customFormat="1" x14ac:dyDescent="0.3">
      <c r="B310" s="44"/>
      <c r="C310" s="45"/>
      <c r="D310" s="126" t="str">
        <f t="shared" si="27"/>
        <v/>
      </c>
      <c r="E310" s="46"/>
      <c r="F310" s="222"/>
      <c r="G310" s="223"/>
      <c r="H310" s="152"/>
    </row>
    <row r="311" spans="2:8" s="43" customFormat="1" ht="15" thickBot="1" x14ac:dyDescent="0.35">
      <c r="B311" s="44" t="s">
        <v>41</v>
      </c>
      <c r="C311" s="47">
        <v>1</v>
      </c>
      <c r="D311" s="126" t="str">
        <f t="shared" si="27"/>
        <v xml:space="preserve"> 5 min</v>
      </c>
      <c r="E311" s="48" t="s">
        <v>73</v>
      </c>
      <c r="F311" s="226"/>
      <c r="G311" s="227"/>
      <c r="H311" s="152"/>
    </row>
    <row r="312" spans="2:8" s="43" customFormat="1" ht="15" thickBot="1" x14ac:dyDescent="0.35">
      <c r="B312" s="86" t="s">
        <v>25</v>
      </c>
      <c r="C312" s="67">
        <f>SUM(C304:C311)</f>
        <v>28</v>
      </c>
      <c r="D312" s="86" t="str">
        <f xml:space="preserve"> setValueToTime(C312)</f>
        <v>2h 20 min</v>
      </c>
      <c r="E312" s="95"/>
      <c r="F312" s="224"/>
      <c r="G312" s="225"/>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8" t="s">
        <v>12</v>
      </c>
      <c r="G315" s="219"/>
      <c r="H315" s="151"/>
    </row>
    <row r="316" spans="2:8" s="43" customFormat="1" x14ac:dyDescent="0.3">
      <c r="B316" s="40" t="s">
        <v>44</v>
      </c>
      <c r="C316" s="41">
        <v>12</v>
      </c>
      <c r="D316" s="126" t="str">
        <f t="shared" ref="D316:D323" si="28" xml:space="preserve"> setValueToTime(C316)</f>
        <v>1h</v>
      </c>
      <c r="E316" s="42" t="s">
        <v>68</v>
      </c>
      <c r="F316" s="220"/>
      <c r="G316" s="221"/>
      <c r="H316" s="152"/>
    </row>
    <row r="317" spans="2:8" s="43" customFormat="1" ht="27" x14ac:dyDescent="0.3">
      <c r="B317" s="44" t="s">
        <v>43</v>
      </c>
      <c r="C317" s="45">
        <v>5</v>
      </c>
      <c r="D317" s="126" t="str">
        <f t="shared" si="28"/>
        <v xml:space="preserve"> 25 min</v>
      </c>
      <c r="E317" s="46" t="s">
        <v>69</v>
      </c>
      <c r="F317" s="222"/>
      <c r="G317" s="223"/>
      <c r="H317" s="152"/>
    </row>
    <row r="318" spans="2:8" s="43" customFormat="1" ht="27" x14ac:dyDescent="0.3">
      <c r="B318" s="44" t="s">
        <v>47</v>
      </c>
      <c r="C318" s="45">
        <v>6</v>
      </c>
      <c r="D318" s="126" t="str">
        <f t="shared" si="28"/>
        <v xml:space="preserve"> 30 min</v>
      </c>
      <c r="E318" s="46" t="s">
        <v>70</v>
      </c>
      <c r="F318" s="222"/>
      <c r="G318" s="223"/>
      <c r="H318" s="152"/>
    </row>
    <row r="319" spans="2:8" s="43" customFormat="1" ht="27" x14ac:dyDescent="0.3">
      <c r="B319" s="44" t="s">
        <v>48</v>
      </c>
      <c r="C319" s="45">
        <v>24</v>
      </c>
      <c r="D319" s="126" t="str">
        <f t="shared" si="28"/>
        <v>2h</v>
      </c>
      <c r="E319" s="46" t="s">
        <v>71</v>
      </c>
      <c r="F319" s="222"/>
      <c r="G319" s="223"/>
      <c r="H319" s="152"/>
    </row>
    <row r="320" spans="2:8" s="43" customFormat="1" x14ac:dyDescent="0.3">
      <c r="B320" s="44"/>
      <c r="C320" s="45"/>
      <c r="D320" s="126" t="str">
        <f t="shared" si="28"/>
        <v/>
      </c>
      <c r="E320" s="46"/>
      <c r="F320" s="222"/>
      <c r="G320" s="223"/>
      <c r="H320" s="152"/>
    </row>
    <row r="321" spans="2:8" s="43" customFormat="1" x14ac:dyDescent="0.3">
      <c r="B321" s="44"/>
      <c r="C321" s="45"/>
      <c r="D321" s="126" t="str">
        <f t="shared" si="28"/>
        <v/>
      </c>
      <c r="E321" s="46"/>
      <c r="F321" s="222"/>
      <c r="G321" s="223"/>
      <c r="H321" s="152"/>
    </row>
    <row r="322" spans="2:8" s="43" customFormat="1" x14ac:dyDescent="0.3">
      <c r="B322" s="44"/>
      <c r="C322" s="45"/>
      <c r="D322" s="126" t="str">
        <f t="shared" si="28"/>
        <v/>
      </c>
      <c r="E322" s="46"/>
      <c r="F322" s="222"/>
      <c r="G322" s="223"/>
      <c r="H322" s="152"/>
    </row>
    <row r="323" spans="2:8" s="43" customFormat="1" ht="15" thickBot="1" x14ac:dyDescent="0.35">
      <c r="B323" s="44" t="s">
        <v>41</v>
      </c>
      <c r="C323" s="47">
        <v>1</v>
      </c>
      <c r="D323" s="126" t="str">
        <f t="shared" si="28"/>
        <v xml:space="preserve"> 5 min</v>
      </c>
      <c r="E323" s="48" t="s">
        <v>73</v>
      </c>
      <c r="F323" s="226"/>
      <c r="G323" s="227"/>
      <c r="H323" s="152"/>
    </row>
    <row r="324" spans="2:8" s="43" customFormat="1" ht="15" thickBot="1" x14ac:dyDescent="0.35">
      <c r="B324" s="86" t="s">
        <v>25</v>
      </c>
      <c r="C324" s="67">
        <f>SUM(C316:C323)</f>
        <v>48</v>
      </c>
      <c r="D324" s="86" t="str">
        <f xml:space="preserve"> setValueToTime(C324)</f>
        <v>4h</v>
      </c>
      <c r="E324" s="95"/>
      <c r="F324" s="224"/>
      <c r="G324" s="225"/>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42" priority="27" operator="greaterThan">
      <formula>60</formula>
    </cfRule>
  </conditionalFormatting>
  <conditionalFormatting sqref="C312">
    <cfRule type="cellIs" dxfId="41" priority="26" operator="greaterThan">
      <formula>60</formula>
    </cfRule>
  </conditionalFormatting>
  <conditionalFormatting sqref="C300">
    <cfRule type="cellIs" dxfId="40" priority="25" operator="greaterThan">
      <formula>60</formula>
    </cfRule>
  </conditionalFormatting>
  <conditionalFormatting sqref="C288">
    <cfRule type="cellIs" dxfId="39" priority="24" operator="greaterThan">
      <formula>60</formula>
    </cfRule>
  </conditionalFormatting>
  <conditionalFormatting sqref="C276">
    <cfRule type="cellIs" dxfId="38" priority="23" operator="greaterThan">
      <formula>60</formula>
    </cfRule>
  </conditionalFormatting>
  <conditionalFormatting sqref="C264">
    <cfRule type="cellIs" dxfId="37" priority="22" operator="greaterThan">
      <formula>60</formula>
    </cfRule>
  </conditionalFormatting>
  <conditionalFormatting sqref="C252">
    <cfRule type="cellIs" dxfId="36" priority="21" operator="greaterThan">
      <formula>60</formula>
    </cfRule>
  </conditionalFormatting>
  <conditionalFormatting sqref="C240">
    <cfRule type="cellIs" dxfId="35" priority="20" operator="greaterThan">
      <formula>60</formula>
    </cfRule>
  </conditionalFormatting>
  <conditionalFormatting sqref="C228">
    <cfRule type="cellIs" dxfId="34" priority="19" operator="greaterThan">
      <formula>60</formula>
    </cfRule>
  </conditionalFormatting>
  <conditionalFormatting sqref="C216">
    <cfRule type="cellIs" dxfId="33" priority="18" operator="greaterThan">
      <formula>60</formula>
    </cfRule>
  </conditionalFormatting>
  <conditionalFormatting sqref="C204">
    <cfRule type="cellIs" dxfId="32" priority="17" operator="greaterThan">
      <formula>60</formula>
    </cfRule>
  </conditionalFormatting>
  <conditionalFormatting sqref="C192">
    <cfRule type="cellIs" dxfId="31" priority="16" operator="greaterThan">
      <formula>60</formula>
    </cfRule>
  </conditionalFormatting>
  <conditionalFormatting sqref="C180">
    <cfRule type="cellIs" dxfId="30" priority="15" operator="greaterThan">
      <formula>60</formula>
    </cfRule>
  </conditionalFormatting>
  <conditionalFormatting sqref="C168">
    <cfRule type="cellIs" dxfId="29" priority="14" operator="greaterThan">
      <formula>60</formula>
    </cfRule>
  </conditionalFormatting>
  <conditionalFormatting sqref="C156">
    <cfRule type="cellIs" dxfId="28" priority="13" operator="greaterThan">
      <formula>60</formula>
    </cfRule>
  </conditionalFormatting>
  <conditionalFormatting sqref="C144">
    <cfRule type="cellIs" dxfId="27" priority="12" operator="greaterThan">
      <formula>60</formula>
    </cfRule>
  </conditionalFormatting>
  <conditionalFormatting sqref="C132">
    <cfRule type="cellIs" dxfId="26" priority="11" operator="greaterThan">
      <formula>60</formula>
    </cfRule>
  </conditionalFormatting>
  <conditionalFormatting sqref="C120">
    <cfRule type="cellIs" dxfId="25" priority="10" operator="greaterThan">
      <formula>60</formula>
    </cfRule>
  </conditionalFormatting>
  <conditionalFormatting sqref="C108">
    <cfRule type="cellIs" dxfId="24" priority="9" operator="greaterThan">
      <formula>60</formula>
    </cfRule>
  </conditionalFormatting>
  <conditionalFormatting sqref="C96">
    <cfRule type="cellIs" dxfId="23" priority="8" operator="greaterThan">
      <formula>60</formula>
    </cfRule>
  </conditionalFormatting>
  <conditionalFormatting sqref="C84">
    <cfRule type="cellIs" dxfId="22" priority="7" operator="greaterThan">
      <formula>60</formula>
    </cfRule>
  </conditionalFormatting>
  <conditionalFormatting sqref="C72">
    <cfRule type="cellIs" dxfId="21" priority="6" operator="greaterThan">
      <formula>60</formula>
    </cfRule>
  </conditionalFormatting>
  <conditionalFormatting sqref="C60">
    <cfRule type="cellIs" dxfId="20" priority="5" operator="greaterThan">
      <formula>60</formula>
    </cfRule>
  </conditionalFormatting>
  <conditionalFormatting sqref="C48">
    <cfRule type="cellIs" dxfId="19" priority="4" operator="greaterThan">
      <formula>60</formula>
    </cfRule>
  </conditionalFormatting>
  <conditionalFormatting sqref="C36">
    <cfRule type="cellIs" dxfId="18" priority="3" operator="greaterThan">
      <formula>60</formula>
    </cfRule>
  </conditionalFormatting>
  <conditionalFormatting sqref="C24">
    <cfRule type="cellIs" dxfId="17" priority="2" operator="greaterThan">
      <formula>60</formula>
    </cfRule>
  </conditionalFormatting>
  <conditionalFormatting sqref="C12">
    <cfRule type="cellIs" dxfId="16"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70"/>
  <sheetViews>
    <sheetView showGridLines="0" tabSelected="1" view="pageBreakPreview" zoomScale="87" zoomScaleNormal="99" zoomScaleSheetLayoutView="87" workbookViewId="0">
      <pane ySplit="1" topLeftCell="A2" activePane="bottomLeft" state="frozen"/>
      <selection pane="bottomLeft" activeCell="E8" sqref="E8"/>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14</v>
      </c>
      <c r="D2" s="137"/>
      <c r="E2" s="130" t="s">
        <v>13</v>
      </c>
      <c r="F2" s="131" t="s">
        <v>121</v>
      </c>
      <c r="G2" s="132" t="s">
        <v>76</v>
      </c>
      <c r="H2" s="151"/>
    </row>
    <row r="3" spans="2:8" s="39" customFormat="1" ht="30" customHeight="1" thickBot="1" x14ac:dyDescent="0.3">
      <c r="B3" s="61" t="s">
        <v>4</v>
      </c>
      <c r="C3" s="134" t="s">
        <v>35</v>
      </c>
      <c r="D3" s="133"/>
      <c r="E3" s="61" t="s">
        <v>11</v>
      </c>
      <c r="F3" s="230" t="s">
        <v>12</v>
      </c>
      <c r="G3" s="231"/>
      <c r="H3" s="151"/>
    </row>
    <row r="4" spans="2:8" s="43" customFormat="1" ht="27" x14ac:dyDescent="0.3">
      <c r="B4" s="40" t="s">
        <v>163</v>
      </c>
      <c r="C4" s="41">
        <v>22</v>
      </c>
      <c r="D4" s="125" t="str">
        <f xml:space="preserve"> IF(C4="","",setValueToTime(C4))</f>
        <v>1h 50 min</v>
      </c>
      <c r="E4" s="236" t="s">
        <v>235</v>
      </c>
      <c r="F4" s="220"/>
      <c r="G4" s="221"/>
      <c r="H4" s="152" t="s">
        <v>231</v>
      </c>
    </row>
    <row r="5" spans="2:8" s="43" customFormat="1" ht="40.5" x14ac:dyDescent="0.3">
      <c r="B5" s="44" t="s">
        <v>46</v>
      </c>
      <c r="C5" s="45">
        <v>12</v>
      </c>
      <c r="D5" s="126" t="str">
        <f t="shared" ref="D5:D11" si="0" xml:space="preserve"> IF(C5="","",setValueToTime(C5))</f>
        <v>1h</v>
      </c>
      <c r="E5" s="237" t="s">
        <v>232</v>
      </c>
      <c r="F5" s="222"/>
      <c r="G5" s="223"/>
      <c r="H5" s="152"/>
    </row>
    <row r="6" spans="2:8" s="43" customFormat="1" x14ac:dyDescent="0.3">
      <c r="B6" s="44"/>
      <c r="C6" s="45"/>
      <c r="D6" s="126" t="str">
        <f t="shared" si="0"/>
        <v/>
      </c>
      <c r="E6" s="46"/>
      <c r="F6" s="222"/>
      <c r="G6" s="223"/>
      <c r="H6" s="152"/>
    </row>
    <row r="7" spans="2:8" s="43" customFormat="1" x14ac:dyDescent="0.3">
      <c r="B7" s="44"/>
      <c r="C7" s="45"/>
      <c r="D7" s="126"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x14ac:dyDescent="0.3">
      <c r="B10" s="45"/>
      <c r="C10" s="45"/>
      <c r="D10" s="127" t="str">
        <f t="shared" si="0"/>
        <v/>
      </c>
      <c r="E10" s="46"/>
      <c r="F10" s="222"/>
      <c r="G10" s="223"/>
      <c r="H10" s="152"/>
    </row>
    <row r="11" spans="2:8" s="43" customFormat="1" ht="15" thickBot="1" x14ac:dyDescent="0.35">
      <c r="B11" s="47"/>
      <c r="C11" s="47"/>
      <c r="D11" s="128" t="str">
        <f t="shared" si="0"/>
        <v/>
      </c>
      <c r="E11" s="48"/>
      <c r="F11" s="226"/>
      <c r="G11" s="227"/>
      <c r="H11" s="152"/>
    </row>
    <row r="12" spans="2:8" s="43" customFormat="1" ht="15" thickBot="1" x14ac:dyDescent="0.35">
      <c r="B12" s="135" t="s">
        <v>25</v>
      </c>
      <c r="C12" s="66">
        <f>SUM(C4:C11)</f>
        <v>34</v>
      </c>
      <c r="D12" s="135" t="str">
        <f xml:space="preserve"> setValueToTime(C12)</f>
        <v>2h 50 min</v>
      </c>
      <c r="E12" s="96"/>
      <c r="F12" s="228"/>
      <c r="G12" s="229"/>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13</v>
      </c>
      <c r="D14" s="137"/>
      <c r="E14" s="130" t="s">
        <v>13</v>
      </c>
      <c r="F14" s="131" t="s">
        <v>121</v>
      </c>
      <c r="G14" s="132" t="s">
        <v>74</v>
      </c>
      <c r="H14" s="151"/>
    </row>
    <row r="15" spans="2:8" s="39" customFormat="1" ht="30" customHeight="1" thickBot="1" x14ac:dyDescent="0.3">
      <c r="B15" s="61" t="s">
        <v>4</v>
      </c>
      <c r="C15" s="134" t="s">
        <v>35</v>
      </c>
      <c r="D15" s="133"/>
      <c r="E15" s="61" t="s">
        <v>11</v>
      </c>
      <c r="F15" s="230" t="s">
        <v>12</v>
      </c>
      <c r="G15" s="231"/>
      <c r="H15" s="151"/>
    </row>
    <row r="16" spans="2:8" s="43" customFormat="1" ht="27" x14ac:dyDescent="0.3">
      <c r="B16" s="40" t="s">
        <v>50</v>
      </c>
      <c r="C16" s="41">
        <v>2</v>
      </c>
      <c r="D16" s="125" t="str">
        <f xml:space="preserve"> IF(C16="","",setValueToTime(C16))</f>
        <v xml:space="preserve"> 10 min</v>
      </c>
      <c r="E16" s="173" t="s">
        <v>221</v>
      </c>
      <c r="F16" s="220"/>
      <c r="G16" s="221"/>
      <c r="H16" s="152"/>
    </row>
    <row r="17" spans="2:8" s="43" customFormat="1" ht="27" x14ac:dyDescent="0.3">
      <c r="B17" s="44" t="s">
        <v>66</v>
      </c>
      <c r="C17" s="45">
        <v>16</v>
      </c>
      <c r="D17" s="126" t="str">
        <f t="shared" ref="D17:D23" si="1" xml:space="preserve"> IF(C17="","",setValueToTime(C17))</f>
        <v>1h 20 min</v>
      </c>
      <c r="E17" s="170" t="s">
        <v>229</v>
      </c>
      <c r="F17" s="222"/>
      <c r="G17" s="223"/>
      <c r="H17" s="152"/>
    </row>
    <row r="18" spans="2:8" s="43" customFormat="1" ht="40.5" x14ac:dyDescent="0.3">
      <c r="B18" s="44" t="s">
        <v>66</v>
      </c>
      <c r="C18" s="45">
        <v>18</v>
      </c>
      <c r="D18" s="126" t="str">
        <f t="shared" si="1"/>
        <v>1h 30 min</v>
      </c>
      <c r="E18" s="170" t="s">
        <v>233</v>
      </c>
      <c r="F18" s="222"/>
      <c r="G18" s="223"/>
      <c r="H18" s="152"/>
    </row>
    <row r="19" spans="2:8" s="43" customFormat="1" ht="40.5" x14ac:dyDescent="0.3">
      <c r="B19" s="44" t="s">
        <v>46</v>
      </c>
      <c r="C19" s="45">
        <v>4</v>
      </c>
      <c r="D19" s="126" t="str">
        <f t="shared" si="1"/>
        <v xml:space="preserve"> 20 min</v>
      </c>
      <c r="E19" s="179" t="s">
        <v>230</v>
      </c>
      <c r="F19" s="222"/>
      <c r="G19" s="223"/>
      <c r="H19" s="152"/>
    </row>
    <row r="20" spans="2:8" s="43" customFormat="1" ht="27" x14ac:dyDescent="0.3">
      <c r="B20" s="45" t="s">
        <v>163</v>
      </c>
      <c r="C20" s="45">
        <v>7</v>
      </c>
      <c r="D20" s="127" t="str">
        <f t="shared" si="1"/>
        <v xml:space="preserve"> 35 min</v>
      </c>
      <c r="E20" s="170" t="s">
        <v>234</v>
      </c>
      <c r="F20" s="222"/>
      <c r="G20" s="223"/>
      <c r="H20" s="152"/>
    </row>
    <row r="21" spans="2:8" s="43" customFormat="1" x14ac:dyDescent="0.3">
      <c r="B21" s="45"/>
      <c r="C21" s="45"/>
      <c r="D21" s="127" t="str">
        <f t="shared" si="1"/>
        <v/>
      </c>
      <c r="E21" s="46"/>
      <c r="F21" s="222"/>
      <c r="G21" s="223"/>
      <c r="H21" s="152"/>
    </row>
    <row r="22" spans="2:8" s="43" customFormat="1" x14ac:dyDescent="0.3">
      <c r="B22" s="45"/>
      <c r="C22" s="45"/>
      <c r="D22" s="127" t="str">
        <f t="shared" si="1"/>
        <v/>
      </c>
      <c r="E22" s="46"/>
      <c r="F22" s="222"/>
      <c r="G22" s="223"/>
      <c r="H22" s="152"/>
    </row>
    <row r="23" spans="2:8" s="43" customFormat="1" ht="27.75" thickBot="1" x14ac:dyDescent="0.35">
      <c r="B23" s="47" t="s">
        <v>41</v>
      </c>
      <c r="C23" s="47">
        <v>1</v>
      </c>
      <c r="D23" s="128" t="str">
        <f t="shared" si="1"/>
        <v xml:space="preserve"> 5 min</v>
      </c>
      <c r="E23" s="178" t="s">
        <v>216</v>
      </c>
      <c r="F23" s="226"/>
      <c r="G23" s="227"/>
      <c r="H23" s="152"/>
    </row>
    <row r="24" spans="2:8" s="43" customFormat="1" ht="15" thickBot="1" x14ac:dyDescent="0.35">
      <c r="B24" s="135" t="s">
        <v>25</v>
      </c>
      <c r="C24" s="66">
        <f>SUM(C16:C23)</f>
        <v>48</v>
      </c>
      <c r="D24" s="135" t="str">
        <f xml:space="preserve"> setValueToTime(C24)</f>
        <v>4h</v>
      </c>
      <c r="E24" s="96"/>
      <c r="F24" s="228"/>
      <c r="G24" s="229"/>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12</v>
      </c>
      <c r="D26" s="137"/>
      <c r="E26" s="130" t="s">
        <v>13</v>
      </c>
      <c r="F26" s="131" t="s">
        <v>122</v>
      </c>
      <c r="G26" s="132" t="s">
        <v>74</v>
      </c>
      <c r="H26" s="151"/>
    </row>
    <row r="27" spans="2:8" s="39" customFormat="1" ht="30" customHeight="1" thickBot="1" x14ac:dyDescent="0.3">
      <c r="B27" s="61" t="s">
        <v>4</v>
      </c>
      <c r="C27" s="134" t="s">
        <v>35</v>
      </c>
      <c r="D27" s="133"/>
      <c r="E27" s="61" t="s">
        <v>11</v>
      </c>
      <c r="F27" s="230" t="s">
        <v>12</v>
      </c>
      <c r="G27" s="231"/>
      <c r="H27" s="151"/>
    </row>
    <row r="28" spans="2:8" s="43" customFormat="1" ht="27" x14ac:dyDescent="0.3">
      <c r="B28" s="40" t="s">
        <v>61</v>
      </c>
      <c r="C28" s="41">
        <v>4</v>
      </c>
      <c r="D28" s="125" t="str">
        <f xml:space="preserve"> IF(C28="","",setValueToTime(C28))</f>
        <v xml:space="preserve"> 20 min</v>
      </c>
      <c r="E28" s="173" t="s">
        <v>223</v>
      </c>
      <c r="F28" s="232" t="s">
        <v>222</v>
      </c>
      <c r="G28" s="233"/>
      <c r="H28" s="152"/>
    </row>
    <row r="29" spans="2:8" s="43" customFormat="1" ht="27" x14ac:dyDescent="0.3">
      <c r="B29" s="44" t="s">
        <v>64</v>
      </c>
      <c r="C29" s="45">
        <v>4</v>
      </c>
      <c r="D29" s="126" t="str">
        <f t="shared" ref="D29:D35" si="2" xml:space="preserve"> IF(C29="","",setValueToTime(C29))</f>
        <v xml:space="preserve"> 20 min</v>
      </c>
      <c r="E29" s="170" t="s">
        <v>224</v>
      </c>
      <c r="F29" s="222"/>
      <c r="G29" s="223"/>
      <c r="H29" s="152"/>
    </row>
    <row r="30" spans="2:8" s="43" customFormat="1" ht="27" x14ac:dyDescent="0.3">
      <c r="B30" s="44" t="s">
        <v>61</v>
      </c>
      <c r="C30" s="45">
        <v>2</v>
      </c>
      <c r="D30" s="126" t="str">
        <f t="shared" si="2"/>
        <v xml:space="preserve"> 10 min</v>
      </c>
      <c r="E30" s="170" t="s">
        <v>225</v>
      </c>
      <c r="F30" s="222"/>
      <c r="G30" s="223"/>
      <c r="H30" s="152"/>
    </row>
    <row r="31" spans="2:8" s="43" customFormat="1" ht="27" x14ac:dyDescent="0.3">
      <c r="B31" s="44" t="s">
        <v>43</v>
      </c>
      <c r="C31" s="45">
        <v>6</v>
      </c>
      <c r="D31" s="126" t="str">
        <f t="shared" si="2"/>
        <v xml:space="preserve"> 30 min</v>
      </c>
      <c r="E31" s="170" t="s">
        <v>228</v>
      </c>
      <c r="F31" s="222"/>
      <c r="G31" s="223"/>
      <c r="H31" s="152"/>
    </row>
    <row r="32" spans="2:8" s="43" customFormat="1" ht="27" x14ac:dyDescent="0.3">
      <c r="B32" s="44" t="s">
        <v>66</v>
      </c>
      <c r="C32" s="45">
        <v>6</v>
      </c>
      <c r="D32" s="126" t="str">
        <f t="shared" ref="D32:D33" si="3" xml:space="preserve"> IF(C32="","",setValueToTime(C32))</f>
        <v xml:space="preserve"> 30 min</v>
      </c>
      <c r="E32" s="170" t="s">
        <v>226</v>
      </c>
      <c r="F32" s="222"/>
      <c r="G32" s="223"/>
      <c r="H32" s="152"/>
    </row>
    <row r="33" spans="2:8" s="43" customFormat="1" ht="27" x14ac:dyDescent="0.3">
      <c r="B33" s="45" t="s">
        <v>60</v>
      </c>
      <c r="C33" s="45">
        <v>4</v>
      </c>
      <c r="D33" s="127" t="str">
        <f t="shared" si="3"/>
        <v xml:space="preserve"> 20 min</v>
      </c>
      <c r="E33" s="170" t="s">
        <v>227</v>
      </c>
      <c r="F33" s="222"/>
      <c r="G33" s="223"/>
      <c r="H33" s="152"/>
    </row>
    <row r="34" spans="2:8" s="43" customFormat="1" x14ac:dyDescent="0.3">
      <c r="B34" s="45"/>
      <c r="C34" s="45"/>
      <c r="D34" s="127" t="str">
        <f t="shared" si="2"/>
        <v/>
      </c>
      <c r="E34" s="46"/>
      <c r="F34" s="222"/>
      <c r="G34" s="223"/>
      <c r="H34" s="152"/>
    </row>
    <row r="35" spans="2:8" s="43" customFormat="1" ht="27.75" thickBot="1" x14ac:dyDescent="0.35">
      <c r="B35" s="47" t="s">
        <v>41</v>
      </c>
      <c r="C35" s="47">
        <v>2</v>
      </c>
      <c r="D35" s="128" t="str">
        <f t="shared" si="2"/>
        <v xml:space="preserve"> 10 min</v>
      </c>
      <c r="E35" s="178" t="s">
        <v>216</v>
      </c>
      <c r="F35" s="226"/>
      <c r="G35" s="227"/>
      <c r="H35" s="152"/>
    </row>
    <row r="36" spans="2:8" s="43" customFormat="1" ht="15" thickBot="1" x14ac:dyDescent="0.35">
      <c r="B36" s="135" t="s">
        <v>25</v>
      </c>
      <c r="C36" s="66">
        <f>SUM(C28:C35)</f>
        <v>28</v>
      </c>
      <c r="D36" s="135" t="str">
        <f xml:space="preserve"> setValueToTime(C36)</f>
        <v>2h 20 min</v>
      </c>
      <c r="E36" s="96"/>
      <c r="F36" s="228"/>
      <c r="G36" s="229"/>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11</v>
      </c>
      <c r="D38" s="137"/>
      <c r="E38" s="130" t="s">
        <v>13</v>
      </c>
      <c r="F38" s="131" t="s">
        <v>123</v>
      </c>
      <c r="G38" s="132" t="s">
        <v>76</v>
      </c>
      <c r="H38" s="151"/>
    </row>
    <row r="39" spans="2:8" s="39" customFormat="1" ht="30" customHeight="1" thickBot="1" x14ac:dyDescent="0.3">
      <c r="B39" s="61" t="s">
        <v>4</v>
      </c>
      <c r="C39" s="134" t="s">
        <v>35</v>
      </c>
      <c r="D39" s="133"/>
      <c r="E39" s="61" t="s">
        <v>11</v>
      </c>
      <c r="F39" s="230" t="s">
        <v>12</v>
      </c>
      <c r="G39" s="231"/>
      <c r="H39" s="151"/>
    </row>
    <row r="40" spans="2:8" s="43" customFormat="1" ht="27" x14ac:dyDescent="0.3">
      <c r="B40" s="40" t="s">
        <v>42</v>
      </c>
      <c r="C40" s="41">
        <v>18</v>
      </c>
      <c r="D40" s="125" t="str">
        <f xml:space="preserve"> IF(C40="","",setValueToTime(C40))</f>
        <v>1h 30 min</v>
      </c>
      <c r="E40" s="173" t="s">
        <v>217</v>
      </c>
      <c r="F40" s="220"/>
      <c r="G40" s="221"/>
      <c r="H40" s="152"/>
    </row>
    <row r="41" spans="2:8" s="43" customFormat="1" x14ac:dyDescent="0.3">
      <c r="B41" s="44" t="s">
        <v>42</v>
      </c>
      <c r="C41" s="45">
        <v>8</v>
      </c>
      <c r="D41" s="126" t="str">
        <f t="shared" ref="D41:D47" si="4" xml:space="preserve"> IF(C41="","",setValueToTime(C41))</f>
        <v xml:space="preserve"> 40 min</v>
      </c>
      <c r="E41" s="170" t="s">
        <v>218</v>
      </c>
      <c r="F41" s="222"/>
      <c r="G41" s="223"/>
      <c r="H41" s="152"/>
    </row>
    <row r="42" spans="2:8" s="43" customFormat="1" x14ac:dyDescent="0.3">
      <c r="B42" s="44"/>
      <c r="C42" s="45"/>
      <c r="D42" s="126" t="str">
        <f t="shared" si="4"/>
        <v/>
      </c>
      <c r="E42" s="46"/>
      <c r="F42" s="222"/>
      <c r="G42" s="223"/>
      <c r="H42" s="152"/>
    </row>
    <row r="43" spans="2:8" s="43" customFormat="1" x14ac:dyDescent="0.3">
      <c r="B43" s="44"/>
      <c r="C43" s="45"/>
      <c r="D43" s="126" t="str">
        <f t="shared" si="4"/>
        <v/>
      </c>
      <c r="E43" s="46"/>
      <c r="F43" s="222"/>
      <c r="G43" s="223"/>
      <c r="H43" s="152"/>
    </row>
    <row r="44" spans="2:8" s="43" customFormat="1" x14ac:dyDescent="0.3">
      <c r="B44" s="45"/>
      <c r="C44" s="45"/>
      <c r="D44" s="127" t="str">
        <f t="shared" si="4"/>
        <v/>
      </c>
      <c r="E44" s="46"/>
      <c r="F44" s="222"/>
      <c r="G44" s="223"/>
      <c r="H44" s="152"/>
    </row>
    <row r="45" spans="2:8" s="43" customFormat="1" x14ac:dyDescent="0.3">
      <c r="B45" s="45"/>
      <c r="C45" s="45"/>
      <c r="D45" s="127" t="str">
        <f t="shared" si="4"/>
        <v/>
      </c>
      <c r="E45" s="46"/>
      <c r="F45" s="222"/>
      <c r="G45" s="223"/>
      <c r="H45" s="152"/>
    </row>
    <row r="46" spans="2:8" s="43" customFormat="1" x14ac:dyDescent="0.3">
      <c r="B46" s="45"/>
      <c r="C46" s="45"/>
      <c r="D46" s="127" t="str">
        <f t="shared" si="4"/>
        <v/>
      </c>
      <c r="E46" s="46"/>
      <c r="F46" s="222"/>
      <c r="G46" s="223"/>
      <c r="H46" s="152"/>
    </row>
    <row r="47" spans="2:8" s="43" customFormat="1" ht="27.75" thickBot="1" x14ac:dyDescent="0.35">
      <c r="B47" s="47" t="s">
        <v>41</v>
      </c>
      <c r="C47" s="47">
        <v>2</v>
      </c>
      <c r="D47" s="128" t="str">
        <f t="shared" si="4"/>
        <v xml:space="preserve"> 10 min</v>
      </c>
      <c r="E47" s="178" t="s">
        <v>216</v>
      </c>
      <c r="F47" s="226"/>
      <c r="G47" s="227"/>
      <c r="H47" s="152"/>
    </row>
    <row r="48" spans="2:8" s="43" customFormat="1" ht="15" thickBot="1" x14ac:dyDescent="0.35">
      <c r="B48" s="135" t="s">
        <v>25</v>
      </c>
      <c r="C48" s="66">
        <f>SUM(C40:C47)</f>
        <v>28</v>
      </c>
      <c r="D48" s="135" t="str">
        <f xml:space="preserve"> setValueToTime(C48)</f>
        <v>2h 20 min</v>
      </c>
      <c r="E48" s="96"/>
      <c r="F48" s="228"/>
      <c r="G48" s="229"/>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10</v>
      </c>
      <c r="D50" s="137"/>
      <c r="E50" s="130" t="s">
        <v>13</v>
      </c>
      <c r="F50" s="131" t="s">
        <v>123</v>
      </c>
      <c r="G50" s="132" t="s">
        <v>74</v>
      </c>
      <c r="H50" s="151"/>
    </row>
    <row r="51" spans="2:8" s="39" customFormat="1" ht="30" customHeight="1" thickBot="1" x14ac:dyDescent="0.3">
      <c r="B51" s="61" t="s">
        <v>4</v>
      </c>
      <c r="C51" s="134" t="s">
        <v>35</v>
      </c>
      <c r="D51" s="133"/>
      <c r="E51" s="61" t="s">
        <v>11</v>
      </c>
      <c r="F51" s="230" t="s">
        <v>12</v>
      </c>
      <c r="G51" s="231"/>
      <c r="H51" s="151"/>
    </row>
    <row r="52" spans="2:8" s="43" customFormat="1" ht="27" x14ac:dyDescent="0.3">
      <c r="B52" s="40" t="s">
        <v>62</v>
      </c>
      <c r="C52" s="41">
        <v>9</v>
      </c>
      <c r="D52" s="125" t="str">
        <f xml:space="preserve"> IF(C52="","",setValueToTime(C52))</f>
        <v xml:space="preserve"> 45 min</v>
      </c>
      <c r="E52" s="173" t="s">
        <v>209</v>
      </c>
      <c r="F52" s="220"/>
      <c r="G52" s="221"/>
      <c r="H52" s="152"/>
    </row>
    <row r="53" spans="2:8" s="43" customFormat="1" x14ac:dyDescent="0.3">
      <c r="B53" s="44" t="s">
        <v>61</v>
      </c>
      <c r="C53" s="45">
        <v>7</v>
      </c>
      <c r="D53" s="126" t="str">
        <f t="shared" ref="D53:D59" si="5" xml:space="preserve"> IF(C53="","",setValueToTime(C53))</f>
        <v xml:space="preserve"> 35 min</v>
      </c>
      <c r="E53" s="170" t="s">
        <v>210</v>
      </c>
      <c r="F53" s="222"/>
      <c r="G53" s="223"/>
      <c r="H53" s="152"/>
    </row>
    <row r="54" spans="2:8" s="43" customFormat="1" x14ac:dyDescent="0.3">
      <c r="B54" s="44" t="s">
        <v>61</v>
      </c>
      <c r="C54" s="45">
        <v>3</v>
      </c>
      <c r="D54" s="126" t="str">
        <f t="shared" si="5"/>
        <v xml:space="preserve"> 15 min</v>
      </c>
      <c r="E54" s="170" t="s">
        <v>211</v>
      </c>
      <c r="F54" s="222"/>
      <c r="G54" s="223"/>
      <c r="H54" s="152"/>
    </row>
    <row r="55" spans="2:8" s="43" customFormat="1" ht="27" x14ac:dyDescent="0.3">
      <c r="B55" s="44" t="s">
        <v>61</v>
      </c>
      <c r="C55" s="45">
        <v>9</v>
      </c>
      <c r="D55" s="126" t="str">
        <f t="shared" si="5"/>
        <v xml:space="preserve"> 45 min</v>
      </c>
      <c r="E55" s="179" t="s">
        <v>212</v>
      </c>
      <c r="F55" s="222"/>
      <c r="G55" s="223"/>
      <c r="H55" s="152"/>
    </row>
    <row r="56" spans="2:8" s="43" customFormat="1" ht="27" x14ac:dyDescent="0.3">
      <c r="B56" s="45" t="s">
        <v>51</v>
      </c>
      <c r="C56" s="45">
        <v>6</v>
      </c>
      <c r="D56" s="127" t="str">
        <f t="shared" si="5"/>
        <v xml:space="preserve"> 30 min</v>
      </c>
      <c r="E56" s="170" t="s">
        <v>213</v>
      </c>
      <c r="F56" s="222"/>
      <c r="G56" s="223"/>
      <c r="H56" s="152"/>
    </row>
    <row r="57" spans="2:8" s="43" customFormat="1" ht="27" x14ac:dyDescent="0.3">
      <c r="B57" s="45" t="s">
        <v>66</v>
      </c>
      <c r="C57" s="45">
        <v>4</v>
      </c>
      <c r="D57" s="127" t="str">
        <f t="shared" si="5"/>
        <v xml:space="preserve"> 20 min</v>
      </c>
      <c r="E57" s="170" t="s">
        <v>215</v>
      </c>
      <c r="F57" s="222"/>
      <c r="G57" s="223"/>
      <c r="H57" s="152"/>
    </row>
    <row r="58" spans="2:8" s="43" customFormat="1" ht="27" x14ac:dyDescent="0.3">
      <c r="B58" s="45" t="s">
        <v>50</v>
      </c>
      <c r="C58" s="45">
        <v>8</v>
      </c>
      <c r="D58" s="127" t="str">
        <f t="shared" si="5"/>
        <v xml:space="preserve"> 40 min</v>
      </c>
      <c r="E58" s="170" t="s">
        <v>214</v>
      </c>
      <c r="F58" s="222"/>
      <c r="G58" s="223"/>
      <c r="H58" s="152"/>
    </row>
    <row r="59" spans="2:8" s="43" customFormat="1" ht="27.75" thickBot="1" x14ac:dyDescent="0.35">
      <c r="B59" s="47" t="s">
        <v>41</v>
      </c>
      <c r="C59" s="47">
        <v>2</v>
      </c>
      <c r="D59" s="128" t="str">
        <f t="shared" si="5"/>
        <v xml:space="preserve"> 10 min</v>
      </c>
      <c r="E59" s="178" t="s">
        <v>216</v>
      </c>
      <c r="F59" s="226"/>
      <c r="G59" s="227"/>
      <c r="H59" s="152"/>
    </row>
    <row r="60" spans="2:8" s="43" customFormat="1" ht="15" thickBot="1" x14ac:dyDescent="0.35">
      <c r="B60" s="135" t="s">
        <v>25</v>
      </c>
      <c r="C60" s="66">
        <f>SUM(C52:C59)</f>
        <v>48</v>
      </c>
      <c r="D60" s="135" t="str">
        <f xml:space="preserve"> setValueToTime(C60)</f>
        <v>4h</v>
      </c>
      <c r="E60" s="96"/>
      <c r="F60" s="228"/>
      <c r="G60" s="229"/>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9</v>
      </c>
      <c r="D62" s="137"/>
      <c r="E62" s="130" t="s">
        <v>13</v>
      </c>
      <c r="F62" s="131" t="s">
        <v>124</v>
      </c>
      <c r="G62" s="132" t="s">
        <v>76</v>
      </c>
      <c r="H62" s="151"/>
    </row>
    <row r="63" spans="2:8" s="39" customFormat="1" ht="30" customHeight="1" thickBot="1" x14ac:dyDescent="0.3">
      <c r="B63" s="61" t="s">
        <v>4</v>
      </c>
      <c r="C63" s="134" t="s">
        <v>35</v>
      </c>
      <c r="D63" s="133"/>
      <c r="E63" s="61" t="s">
        <v>11</v>
      </c>
      <c r="F63" s="230" t="s">
        <v>12</v>
      </c>
      <c r="G63" s="231"/>
      <c r="H63" s="151"/>
    </row>
    <row r="64" spans="2:8" s="43" customFormat="1" ht="27" x14ac:dyDescent="0.3">
      <c r="B64" s="40" t="s">
        <v>66</v>
      </c>
      <c r="C64" s="41">
        <v>6</v>
      </c>
      <c r="D64" s="125" t="str">
        <f xml:space="preserve"> IF(C64="","",setValueToTime(C64))</f>
        <v xml:space="preserve"> 30 min</v>
      </c>
      <c r="E64" s="173" t="s">
        <v>204</v>
      </c>
      <c r="F64" s="220"/>
      <c r="G64" s="221"/>
      <c r="H64" s="152"/>
    </row>
    <row r="65" spans="2:8" s="43" customFormat="1" ht="27" x14ac:dyDescent="0.3">
      <c r="B65" s="177" t="s">
        <v>66</v>
      </c>
      <c r="C65" s="45">
        <v>18</v>
      </c>
      <c r="D65" s="126" t="str">
        <f t="shared" ref="D65:D71" si="6" xml:space="preserve"> IF(C65="","",setValueToTime(C65))</f>
        <v>1h 30 min</v>
      </c>
      <c r="E65" s="170" t="s">
        <v>207</v>
      </c>
      <c r="F65" s="222"/>
      <c r="G65" s="223"/>
      <c r="H65" s="152"/>
    </row>
    <row r="66" spans="2:8" s="43" customFormat="1" ht="39.75" x14ac:dyDescent="0.3">
      <c r="B66" s="44" t="s">
        <v>43</v>
      </c>
      <c r="C66" s="45">
        <v>5</v>
      </c>
      <c r="D66" s="126" t="str">
        <f t="shared" ref="D66" si="7" xml:space="preserve"> IF(C66="","",setValueToTime(C66))</f>
        <v xml:space="preserve"> 25 min</v>
      </c>
      <c r="E66" s="170" t="s">
        <v>205</v>
      </c>
      <c r="F66" s="222"/>
      <c r="G66" s="223"/>
      <c r="H66" s="152"/>
    </row>
    <row r="67" spans="2:8" s="43" customFormat="1" x14ac:dyDescent="0.3">
      <c r="B67" s="44" t="s">
        <v>61</v>
      </c>
      <c r="C67" s="45">
        <v>6</v>
      </c>
      <c r="D67" s="126" t="str">
        <f t="shared" si="6"/>
        <v xml:space="preserve"> 30 min</v>
      </c>
      <c r="E67" s="170" t="s">
        <v>206</v>
      </c>
      <c r="F67" s="222"/>
      <c r="G67" s="223"/>
      <c r="H67" s="152"/>
    </row>
    <row r="68" spans="2:8" s="43" customFormat="1" x14ac:dyDescent="0.3">
      <c r="B68" s="45"/>
      <c r="C68" s="45"/>
      <c r="D68" s="127" t="str">
        <f t="shared" si="6"/>
        <v/>
      </c>
      <c r="E68" s="46"/>
      <c r="F68" s="222"/>
      <c r="G68" s="223"/>
      <c r="H68" s="152"/>
    </row>
    <row r="69" spans="2:8" s="43" customFormat="1" x14ac:dyDescent="0.3">
      <c r="B69" s="45"/>
      <c r="C69" s="45"/>
      <c r="D69" s="127" t="str">
        <f t="shared" si="6"/>
        <v/>
      </c>
      <c r="E69" s="46"/>
      <c r="F69" s="222"/>
      <c r="G69" s="223"/>
      <c r="H69" s="152"/>
    </row>
    <row r="70" spans="2:8" s="43" customFormat="1" x14ac:dyDescent="0.3">
      <c r="B70" s="45"/>
      <c r="C70" s="45"/>
      <c r="D70" s="127" t="str">
        <f t="shared" si="6"/>
        <v/>
      </c>
      <c r="E70" s="46"/>
      <c r="F70" s="222"/>
      <c r="G70" s="223"/>
      <c r="H70" s="152"/>
    </row>
    <row r="71" spans="2:8" s="43" customFormat="1" ht="27.75" thickBot="1" x14ac:dyDescent="0.35">
      <c r="B71" s="47" t="s">
        <v>41</v>
      </c>
      <c r="C71" s="47">
        <v>3</v>
      </c>
      <c r="D71" s="128" t="str">
        <f t="shared" si="6"/>
        <v xml:space="preserve"> 15 min</v>
      </c>
      <c r="E71" s="178" t="s">
        <v>208</v>
      </c>
      <c r="F71" s="226"/>
      <c r="G71" s="227"/>
      <c r="H71" s="152"/>
    </row>
    <row r="72" spans="2:8" s="43" customFormat="1" ht="15" thickBot="1" x14ac:dyDescent="0.35">
      <c r="B72" s="135" t="s">
        <v>25</v>
      </c>
      <c r="C72" s="66">
        <f>SUM(C64:C71)</f>
        <v>38</v>
      </c>
      <c r="D72" s="135" t="str">
        <f xml:space="preserve"> setValueToTime(C72)</f>
        <v>3h 10 min</v>
      </c>
      <c r="E72" s="96"/>
      <c r="F72" s="228"/>
      <c r="G72" s="229"/>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8</v>
      </c>
      <c r="D74" s="137"/>
      <c r="E74" s="130" t="s">
        <v>13</v>
      </c>
      <c r="F74" s="131" t="s">
        <v>124</v>
      </c>
      <c r="G74" s="132" t="s">
        <v>74</v>
      </c>
      <c r="H74" s="151"/>
    </row>
    <row r="75" spans="2:8" s="39" customFormat="1" ht="30" customHeight="1" thickBot="1" x14ac:dyDescent="0.3">
      <c r="B75" s="61" t="s">
        <v>4</v>
      </c>
      <c r="C75" s="134" t="s">
        <v>35</v>
      </c>
      <c r="D75" s="133"/>
      <c r="E75" s="61" t="s">
        <v>11</v>
      </c>
      <c r="F75" s="230" t="s">
        <v>12</v>
      </c>
      <c r="G75" s="231"/>
      <c r="H75" s="151"/>
    </row>
    <row r="76" spans="2:8" s="43" customFormat="1" ht="27" x14ac:dyDescent="0.3">
      <c r="B76" s="40" t="s">
        <v>59</v>
      </c>
      <c r="C76" s="41">
        <v>2</v>
      </c>
      <c r="D76" s="125" t="str">
        <f xml:space="preserve"> IF(C76="","",setValueToTime(C76))</f>
        <v xml:space="preserve"> 10 min</v>
      </c>
      <c r="E76" s="173" t="s">
        <v>198</v>
      </c>
      <c r="F76" s="220"/>
      <c r="G76" s="221"/>
      <c r="H76" s="152"/>
    </row>
    <row r="77" spans="2:8" s="43" customFormat="1" ht="27" x14ac:dyDescent="0.3">
      <c r="B77" s="44" t="s">
        <v>59</v>
      </c>
      <c r="C77" s="45">
        <v>9</v>
      </c>
      <c r="D77" s="126" t="str">
        <f t="shared" ref="D77:D83" si="8" xml:space="preserve"> IF(C77="","",setValueToTime(C77))</f>
        <v xml:space="preserve"> 45 min</v>
      </c>
      <c r="E77" s="170" t="s">
        <v>202</v>
      </c>
      <c r="F77" s="222"/>
      <c r="G77" s="223"/>
      <c r="H77" s="152"/>
    </row>
    <row r="78" spans="2:8" s="43" customFormat="1" ht="27" x14ac:dyDescent="0.3">
      <c r="B78" s="44" t="s">
        <v>60</v>
      </c>
      <c r="C78" s="45">
        <v>3</v>
      </c>
      <c r="D78" s="126" t="str">
        <f t="shared" si="8"/>
        <v xml:space="preserve"> 15 min</v>
      </c>
      <c r="E78" s="170" t="s">
        <v>201</v>
      </c>
      <c r="F78" s="222"/>
      <c r="G78" s="223"/>
      <c r="H78" s="152"/>
    </row>
    <row r="79" spans="2:8" s="43" customFormat="1" ht="27" x14ac:dyDescent="0.3">
      <c r="B79" s="44" t="s">
        <v>66</v>
      </c>
      <c r="C79" s="45">
        <v>28</v>
      </c>
      <c r="D79" s="126" t="str">
        <f t="shared" si="8"/>
        <v>2h 20 min</v>
      </c>
      <c r="E79" s="170" t="s">
        <v>199</v>
      </c>
      <c r="F79" s="222"/>
      <c r="G79" s="223"/>
      <c r="H79" s="152"/>
    </row>
    <row r="80" spans="2:8" s="43" customFormat="1" x14ac:dyDescent="0.3">
      <c r="B80" s="45" t="s">
        <v>61</v>
      </c>
      <c r="C80" s="45">
        <v>4</v>
      </c>
      <c r="D80" s="127" t="str">
        <f t="shared" si="8"/>
        <v xml:space="preserve"> 20 min</v>
      </c>
      <c r="E80" s="170" t="s">
        <v>200</v>
      </c>
      <c r="F80" s="222"/>
      <c r="G80" s="223"/>
      <c r="H80" s="152"/>
    </row>
    <row r="81" spans="2:8" s="43" customFormat="1" x14ac:dyDescent="0.3">
      <c r="B81" s="45"/>
      <c r="C81" s="45"/>
      <c r="D81" s="127" t="str">
        <f t="shared" si="8"/>
        <v/>
      </c>
      <c r="E81" s="46"/>
      <c r="F81" s="222"/>
      <c r="G81" s="223"/>
      <c r="H81" s="152"/>
    </row>
    <row r="82" spans="2:8" s="43" customFormat="1" x14ac:dyDescent="0.3">
      <c r="B82" s="45"/>
      <c r="C82" s="45"/>
      <c r="D82" s="127" t="str">
        <f t="shared" si="8"/>
        <v/>
      </c>
      <c r="E82" s="46"/>
      <c r="F82" s="222"/>
      <c r="G82" s="223"/>
      <c r="H82" s="152"/>
    </row>
    <row r="83" spans="2:8" s="43" customFormat="1" ht="27.75" thickBot="1" x14ac:dyDescent="0.35">
      <c r="B83" s="47" t="s">
        <v>41</v>
      </c>
      <c r="C83" s="47">
        <v>2</v>
      </c>
      <c r="D83" s="127" t="str">
        <f t="shared" si="8"/>
        <v xml:space="preserve"> 10 min</v>
      </c>
      <c r="E83" s="48" t="s">
        <v>73</v>
      </c>
      <c r="F83" s="226"/>
      <c r="G83" s="227"/>
      <c r="H83" s="152"/>
    </row>
    <row r="84" spans="2:8" s="43" customFormat="1" ht="15" thickBot="1" x14ac:dyDescent="0.35">
      <c r="B84" s="135" t="s">
        <v>25</v>
      </c>
      <c r="C84" s="66">
        <f>SUM(C76:C83)</f>
        <v>48</v>
      </c>
      <c r="D84" s="135" t="str">
        <f xml:space="preserve"> setValueToTime(C84)</f>
        <v>4h</v>
      </c>
      <c r="E84" s="96"/>
      <c r="F84" s="228"/>
      <c r="G84" s="229"/>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7</v>
      </c>
      <c r="D86" s="137"/>
      <c r="E86" s="130" t="s">
        <v>13</v>
      </c>
      <c r="F86" s="131" t="s">
        <v>125</v>
      </c>
      <c r="G86" s="132" t="s">
        <v>76</v>
      </c>
      <c r="H86" s="151"/>
    </row>
    <row r="87" spans="2:8" s="39" customFormat="1" ht="30" customHeight="1" thickBot="1" x14ac:dyDescent="0.3">
      <c r="B87" s="61" t="s">
        <v>4</v>
      </c>
      <c r="C87" s="134" t="s">
        <v>35</v>
      </c>
      <c r="D87" s="133"/>
      <c r="E87" s="61" t="s">
        <v>11</v>
      </c>
      <c r="F87" s="230" t="s">
        <v>12</v>
      </c>
      <c r="G87" s="231"/>
      <c r="H87" s="151"/>
    </row>
    <row r="88" spans="2:8" s="43" customFormat="1" ht="27" x14ac:dyDescent="0.3">
      <c r="B88" s="40" t="s">
        <v>55</v>
      </c>
      <c r="C88" s="41">
        <v>6</v>
      </c>
      <c r="D88" s="125" t="str">
        <f xml:space="preserve"> IF(C88="","",setValueToTime(C88))</f>
        <v xml:space="preserve"> 30 min</v>
      </c>
      <c r="E88" s="170" t="s">
        <v>193</v>
      </c>
      <c r="F88" s="220"/>
      <c r="G88" s="221"/>
      <c r="H88" s="152"/>
    </row>
    <row r="89" spans="2:8" s="43" customFormat="1" ht="27" x14ac:dyDescent="0.3">
      <c r="B89" s="44" t="s">
        <v>55</v>
      </c>
      <c r="C89" s="45">
        <v>4</v>
      </c>
      <c r="D89" s="126" t="str">
        <f t="shared" ref="D89:D96" si="9" xml:space="preserve"> IF(C89="","",setValueToTime(C89))</f>
        <v xml:space="preserve"> 20 min</v>
      </c>
      <c r="E89" s="170" t="s">
        <v>192</v>
      </c>
      <c r="F89" s="222"/>
      <c r="G89" s="223"/>
      <c r="H89" s="152"/>
    </row>
    <row r="90" spans="2:8" s="43" customFormat="1" ht="27" x14ac:dyDescent="0.3">
      <c r="B90" s="44" t="s">
        <v>55</v>
      </c>
      <c r="C90" s="45">
        <v>5</v>
      </c>
      <c r="D90" s="126" t="str">
        <f t="shared" si="9"/>
        <v xml:space="preserve"> 25 min</v>
      </c>
      <c r="E90" s="170" t="s">
        <v>191</v>
      </c>
      <c r="F90" s="222"/>
      <c r="G90" s="223"/>
      <c r="H90" s="152"/>
    </row>
    <row r="91" spans="2:8" s="43" customFormat="1" ht="27" x14ac:dyDescent="0.3">
      <c r="B91" s="44" t="s">
        <v>55</v>
      </c>
      <c r="C91" s="45">
        <v>3</v>
      </c>
      <c r="D91" s="126" t="str">
        <f t="shared" si="9"/>
        <v xml:space="preserve"> 15 min</v>
      </c>
      <c r="E91" s="170" t="s">
        <v>194</v>
      </c>
      <c r="F91" s="222"/>
      <c r="G91" s="223"/>
      <c r="H91" s="152"/>
    </row>
    <row r="92" spans="2:8" s="43" customFormat="1" ht="27" x14ac:dyDescent="0.3">
      <c r="B92" s="45" t="s">
        <v>50</v>
      </c>
      <c r="C92" s="45">
        <v>1</v>
      </c>
      <c r="D92" s="127" t="str">
        <f t="shared" si="9"/>
        <v xml:space="preserve"> 5 min</v>
      </c>
      <c r="E92" s="170" t="s">
        <v>196</v>
      </c>
      <c r="F92" s="222"/>
      <c r="G92" s="223"/>
      <c r="H92" s="152"/>
    </row>
    <row r="93" spans="2:8" s="43" customFormat="1" ht="27" x14ac:dyDescent="0.3">
      <c r="B93" s="45" t="s">
        <v>50</v>
      </c>
      <c r="C93" s="45">
        <v>1</v>
      </c>
      <c r="D93" s="127" t="str">
        <f t="shared" si="9"/>
        <v xml:space="preserve"> 5 min</v>
      </c>
      <c r="E93" s="170" t="s">
        <v>203</v>
      </c>
      <c r="F93" s="175"/>
      <c r="G93" s="176"/>
      <c r="H93" s="152"/>
    </row>
    <row r="94" spans="2:8" s="43" customFormat="1" ht="27" x14ac:dyDescent="0.3">
      <c r="B94" s="45" t="s">
        <v>60</v>
      </c>
      <c r="C94" s="45">
        <v>1</v>
      </c>
      <c r="D94" s="127" t="str">
        <f t="shared" si="9"/>
        <v xml:space="preserve"> 5 min</v>
      </c>
      <c r="E94" s="170" t="s">
        <v>195</v>
      </c>
      <c r="F94" s="222"/>
      <c r="G94" s="223"/>
      <c r="H94" s="152"/>
    </row>
    <row r="95" spans="2:8" s="43" customFormat="1" ht="27" x14ac:dyDescent="0.3">
      <c r="B95" s="45" t="s">
        <v>60</v>
      </c>
      <c r="C95" s="45">
        <v>16</v>
      </c>
      <c r="D95" s="127" t="str">
        <f t="shared" si="9"/>
        <v>1h 20 min</v>
      </c>
      <c r="E95" s="170" t="s">
        <v>197</v>
      </c>
      <c r="F95" s="222"/>
      <c r="G95" s="223"/>
      <c r="H95" s="152"/>
    </row>
    <row r="96" spans="2:8" s="43" customFormat="1" ht="27.75" thickBot="1" x14ac:dyDescent="0.35">
      <c r="B96" s="47" t="s">
        <v>41</v>
      </c>
      <c r="C96" s="47">
        <v>1</v>
      </c>
      <c r="D96" s="127" t="str">
        <f t="shared" si="9"/>
        <v xml:space="preserve"> 5 min</v>
      </c>
      <c r="E96" s="48" t="s">
        <v>73</v>
      </c>
      <c r="F96" s="226"/>
      <c r="G96" s="227"/>
      <c r="H96" s="152"/>
    </row>
    <row r="97" spans="2:8" s="43" customFormat="1" ht="15" thickBot="1" x14ac:dyDescent="0.35">
      <c r="B97" s="135" t="s">
        <v>25</v>
      </c>
      <c r="C97" s="66">
        <f>SUM(C88:C96)</f>
        <v>38</v>
      </c>
      <c r="D97" s="135" t="str">
        <f xml:space="preserve"> setValueToTime(C97)</f>
        <v>3h 10 min</v>
      </c>
      <c r="E97" s="96"/>
      <c r="F97" s="228"/>
      <c r="G97" s="229"/>
      <c r="H97" s="152"/>
    </row>
    <row r="98" spans="2:8" s="43" customFormat="1" ht="15" thickBot="1" x14ac:dyDescent="0.35">
      <c r="B98" s="60"/>
      <c r="C98" s="60"/>
      <c r="D98" s="60"/>
      <c r="E98" s="60"/>
      <c r="F98" s="60"/>
      <c r="G98" s="60"/>
      <c r="H98" s="152"/>
    </row>
    <row r="99" spans="2:8" s="39" customFormat="1" ht="30" customHeight="1" thickBot="1" x14ac:dyDescent="0.3">
      <c r="B99" s="129" t="s">
        <v>10</v>
      </c>
      <c r="C99" s="137">
        <v>6</v>
      </c>
      <c r="D99" s="137"/>
      <c r="E99" s="130" t="s">
        <v>13</v>
      </c>
      <c r="F99" s="131" t="s">
        <v>125</v>
      </c>
      <c r="G99" s="132" t="s">
        <v>74</v>
      </c>
      <c r="H99" s="151"/>
    </row>
    <row r="100" spans="2:8" s="39" customFormat="1" ht="30" customHeight="1" thickBot="1" x14ac:dyDescent="0.3">
      <c r="B100" s="61" t="s">
        <v>4</v>
      </c>
      <c r="C100" s="134" t="s">
        <v>35</v>
      </c>
      <c r="D100" s="133"/>
      <c r="E100" s="61" t="s">
        <v>11</v>
      </c>
      <c r="F100" s="230" t="s">
        <v>12</v>
      </c>
      <c r="G100" s="231"/>
      <c r="H100" s="151"/>
    </row>
    <row r="101" spans="2:8" s="43" customFormat="1" ht="27" x14ac:dyDescent="0.3">
      <c r="B101" s="40" t="s">
        <v>55</v>
      </c>
      <c r="C101" s="41">
        <v>11</v>
      </c>
      <c r="D101" s="125" t="str">
        <f xml:space="preserve"> IF(C101="","",setValueToTime(C101))</f>
        <v xml:space="preserve"> 55 min</v>
      </c>
      <c r="E101" s="170" t="s">
        <v>188</v>
      </c>
      <c r="F101" s="232" t="s">
        <v>187</v>
      </c>
      <c r="G101" s="233"/>
      <c r="H101" s="152"/>
    </row>
    <row r="102" spans="2:8" s="43" customFormat="1" ht="27" x14ac:dyDescent="0.3">
      <c r="B102" s="44" t="s">
        <v>55</v>
      </c>
      <c r="C102" s="45">
        <v>5</v>
      </c>
      <c r="D102" s="126" t="str">
        <f t="shared" ref="D102:D108" si="10" xml:space="preserve"> IF(C102="","",setValueToTime(C102))</f>
        <v xml:space="preserve"> 25 min</v>
      </c>
      <c r="E102" s="170" t="s">
        <v>189</v>
      </c>
      <c r="F102" s="222"/>
      <c r="G102" s="223"/>
      <c r="H102" s="152"/>
    </row>
    <row r="103" spans="2:8" s="43" customFormat="1" ht="27" x14ac:dyDescent="0.3">
      <c r="B103" s="44" t="s">
        <v>55</v>
      </c>
      <c r="C103" s="45">
        <v>31</v>
      </c>
      <c r="D103" s="126" t="str">
        <f t="shared" si="10"/>
        <v>2h 35 min</v>
      </c>
      <c r="E103" s="170" t="s">
        <v>190</v>
      </c>
      <c r="F103" s="222"/>
      <c r="G103" s="223"/>
      <c r="H103" s="152"/>
    </row>
    <row r="104" spans="2:8" s="43" customFormat="1" x14ac:dyDescent="0.3">
      <c r="B104" s="44"/>
      <c r="C104" s="45"/>
      <c r="D104" s="126" t="str">
        <f t="shared" si="10"/>
        <v/>
      </c>
      <c r="E104" s="46"/>
      <c r="F104" s="222"/>
      <c r="G104" s="223"/>
      <c r="H104" s="152"/>
    </row>
    <row r="105" spans="2:8" s="43" customFormat="1" x14ac:dyDescent="0.3">
      <c r="B105" s="45"/>
      <c r="C105" s="45"/>
      <c r="D105" s="127" t="str">
        <f t="shared" si="10"/>
        <v/>
      </c>
      <c r="E105" s="46"/>
      <c r="F105" s="222"/>
      <c r="G105" s="223"/>
      <c r="H105" s="152"/>
    </row>
    <row r="106" spans="2:8" s="43" customFormat="1" x14ac:dyDescent="0.3">
      <c r="B106" s="45"/>
      <c r="C106" s="45"/>
      <c r="D106" s="127" t="str">
        <f t="shared" si="10"/>
        <v/>
      </c>
      <c r="E106" s="46"/>
      <c r="F106" s="222"/>
      <c r="G106" s="223"/>
      <c r="H106" s="152"/>
    </row>
    <row r="107" spans="2:8" s="43" customFormat="1" x14ac:dyDescent="0.3">
      <c r="B107" s="45"/>
      <c r="C107" s="45"/>
      <c r="D107" s="127" t="str">
        <f t="shared" si="10"/>
        <v/>
      </c>
      <c r="E107" s="46"/>
      <c r="F107" s="222"/>
      <c r="G107" s="223"/>
      <c r="H107" s="152"/>
    </row>
    <row r="108" spans="2:8" s="43" customFormat="1" ht="27.75" thickBot="1" x14ac:dyDescent="0.35">
      <c r="B108" s="47" t="s">
        <v>41</v>
      </c>
      <c r="C108" s="47">
        <v>1</v>
      </c>
      <c r="D108" s="127" t="str">
        <f t="shared" si="10"/>
        <v xml:space="preserve"> 5 min</v>
      </c>
      <c r="E108" s="48" t="s">
        <v>73</v>
      </c>
      <c r="F108" s="226"/>
      <c r="G108" s="227"/>
      <c r="H108" s="152"/>
    </row>
    <row r="109" spans="2:8" s="43" customFormat="1" ht="15" thickBot="1" x14ac:dyDescent="0.35">
      <c r="B109" s="135" t="s">
        <v>25</v>
      </c>
      <c r="C109" s="66">
        <f>SUM(C101:C108)</f>
        <v>48</v>
      </c>
      <c r="D109" s="135" t="str">
        <f xml:space="preserve"> setValueToTime(C109)</f>
        <v>4h</v>
      </c>
      <c r="E109" s="96"/>
      <c r="F109" s="228"/>
      <c r="G109" s="229"/>
      <c r="H109" s="152"/>
    </row>
    <row r="110" spans="2:8" s="43" customFormat="1" ht="15" thickBot="1" x14ac:dyDescent="0.35">
      <c r="B110" s="60"/>
      <c r="C110" s="60"/>
      <c r="D110" s="60"/>
      <c r="E110" s="60"/>
      <c r="F110" s="60"/>
      <c r="G110" s="60"/>
      <c r="H110" s="152"/>
    </row>
    <row r="111" spans="2:8" s="39" customFormat="1" ht="30" customHeight="1" thickBot="1" x14ac:dyDescent="0.3">
      <c r="B111" s="129" t="s">
        <v>10</v>
      </c>
      <c r="C111" s="137">
        <v>5</v>
      </c>
      <c r="D111" s="137"/>
      <c r="E111" s="130" t="s">
        <v>13</v>
      </c>
      <c r="F111" s="131" t="s">
        <v>126</v>
      </c>
      <c r="G111" s="132" t="s">
        <v>74</v>
      </c>
      <c r="H111" s="151"/>
    </row>
    <row r="112" spans="2:8" s="39" customFormat="1" ht="30" customHeight="1" thickBot="1" x14ac:dyDescent="0.3">
      <c r="B112" s="61" t="s">
        <v>4</v>
      </c>
      <c r="C112" s="134" t="s">
        <v>35</v>
      </c>
      <c r="D112" s="133"/>
      <c r="E112" s="61" t="s">
        <v>11</v>
      </c>
      <c r="F112" s="230" t="s">
        <v>12</v>
      </c>
      <c r="G112" s="231"/>
      <c r="H112" s="151"/>
    </row>
    <row r="113" spans="2:8" s="43" customFormat="1" ht="27" x14ac:dyDescent="0.3">
      <c r="B113" s="44" t="s">
        <v>55</v>
      </c>
      <c r="C113" s="45">
        <v>9</v>
      </c>
      <c r="D113" s="127" t="str">
        <f t="shared" ref="D113:D120" si="11" xml:space="preserve"> IF(C113="","",setValueToTime(C113))</f>
        <v xml:space="preserve"> 45 min</v>
      </c>
      <c r="E113" s="170" t="s">
        <v>185</v>
      </c>
      <c r="F113" s="220"/>
      <c r="G113" s="221"/>
      <c r="H113" s="152"/>
    </row>
    <row r="114" spans="2:8" s="43" customFormat="1" ht="40.5" x14ac:dyDescent="0.3">
      <c r="B114" s="44" t="s">
        <v>43</v>
      </c>
      <c r="C114" s="45">
        <v>9</v>
      </c>
      <c r="D114" s="127" t="str">
        <f t="shared" si="11"/>
        <v xml:space="preserve"> 45 min</v>
      </c>
      <c r="E114" s="170" t="s">
        <v>182</v>
      </c>
      <c r="F114" s="222"/>
      <c r="G114" s="223"/>
      <c r="H114" s="152"/>
    </row>
    <row r="115" spans="2:8" s="43" customFormat="1" ht="27" x14ac:dyDescent="0.3">
      <c r="B115" s="44" t="s">
        <v>56</v>
      </c>
      <c r="C115" s="45">
        <v>5</v>
      </c>
      <c r="D115" s="127" t="str">
        <f t="shared" si="11"/>
        <v xml:space="preserve"> 25 min</v>
      </c>
      <c r="E115" s="170" t="s">
        <v>184</v>
      </c>
      <c r="F115" s="222"/>
      <c r="G115" s="223"/>
      <c r="H115" s="152"/>
    </row>
    <row r="116" spans="2:8" s="43" customFormat="1" ht="27" x14ac:dyDescent="0.3">
      <c r="B116" s="44" t="s">
        <v>55</v>
      </c>
      <c r="C116" s="45">
        <v>4</v>
      </c>
      <c r="D116" s="127" t="str">
        <f t="shared" si="11"/>
        <v xml:space="preserve"> 20 min</v>
      </c>
      <c r="E116" s="170" t="s">
        <v>186</v>
      </c>
      <c r="F116" s="222"/>
      <c r="G116" s="223"/>
      <c r="H116" s="152"/>
    </row>
    <row r="117" spans="2:8" s="43" customFormat="1" x14ac:dyDescent="0.3">
      <c r="B117" s="45"/>
      <c r="C117" s="45"/>
      <c r="D117" s="127" t="str">
        <f t="shared" si="11"/>
        <v/>
      </c>
      <c r="E117" s="46"/>
      <c r="F117" s="222"/>
      <c r="G117" s="223"/>
      <c r="H117" s="152"/>
    </row>
    <row r="118" spans="2:8" s="43" customFormat="1" x14ac:dyDescent="0.3">
      <c r="B118" s="45"/>
      <c r="C118" s="45"/>
      <c r="D118" s="127" t="str">
        <f t="shared" si="11"/>
        <v/>
      </c>
      <c r="E118" s="46"/>
      <c r="F118" s="222"/>
      <c r="G118" s="223"/>
      <c r="H118" s="152"/>
    </row>
    <row r="119" spans="2:8" s="43" customFormat="1" x14ac:dyDescent="0.3">
      <c r="B119" s="45"/>
      <c r="C119" s="45"/>
      <c r="D119" s="127" t="str">
        <f t="shared" si="11"/>
        <v/>
      </c>
      <c r="E119" s="46"/>
      <c r="F119" s="222"/>
      <c r="G119" s="223"/>
      <c r="H119" s="152"/>
    </row>
    <row r="120" spans="2:8" s="43" customFormat="1" ht="27.75" thickBot="1" x14ac:dyDescent="0.35">
      <c r="B120" s="47" t="s">
        <v>41</v>
      </c>
      <c r="C120" s="47">
        <v>1</v>
      </c>
      <c r="D120" s="127" t="str">
        <f t="shared" si="11"/>
        <v xml:space="preserve"> 5 min</v>
      </c>
      <c r="E120" s="48" t="s">
        <v>73</v>
      </c>
      <c r="F120" s="226"/>
      <c r="G120" s="227"/>
      <c r="H120" s="152"/>
    </row>
    <row r="121" spans="2:8" s="43" customFormat="1" ht="15" thickBot="1" x14ac:dyDescent="0.35">
      <c r="B121" s="135" t="s">
        <v>25</v>
      </c>
      <c r="C121" s="66">
        <f>SUM(C113:C120)</f>
        <v>28</v>
      </c>
      <c r="D121" s="135" t="str">
        <f xml:space="preserve"> setValueToTime(C121)</f>
        <v>2h 20 min</v>
      </c>
      <c r="E121" s="96"/>
      <c r="F121" s="228"/>
      <c r="G121" s="229"/>
      <c r="H121" s="152"/>
    </row>
    <row r="122" spans="2:8" s="43" customFormat="1" ht="15" thickBot="1" x14ac:dyDescent="0.35">
      <c r="B122" s="60"/>
      <c r="C122" s="60"/>
      <c r="D122" s="60"/>
      <c r="E122" s="60"/>
      <c r="F122" s="60"/>
      <c r="G122" s="60"/>
      <c r="H122" s="152"/>
    </row>
    <row r="123" spans="2:8" s="39" customFormat="1" ht="30" customHeight="1" thickBot="1" x14ac:dyDescent="0.3">
      <c r="B123" s="129" t="s">
        <v>10</v>
      </c>
      <c r="C123" s="137">
        <v>4</v>
      </c>
      <c r="D123" s="137"/>
      <c r="E123" s="130" t="s">
        <v>13</v>
      </c>
      <c r="F123" s="131" t="s">
        <v>127</v>
      </c>
      <c r="G123" s="132" t="s">
        <v>76</v>
      </c>
      <c r="H123" s="151"/>
    </row>
    <row r="124" spans="2:8" s="39" customFormat="1" ht="30" customHeight="1" thickBot="1" x14ac:dyDescent="0.3">
      <c r="B124" s="61" t="s">
        <v>4</v>
      </c>
      <c r="C124" s="134" t="s">
        <v>35</v>
      </c>
      <c r="D124" s="133"/>
      <c r="E124" s="61" t="s">
        <v>11</v>
      </c>
      <c r="F124" s="230" t="s">
        <v>12</v>
      </c>
      <c r="G124" s="231"/>
      <c r="H124" s="151"/>
    </row>
    <row r="125" spans="2:8" s="43" customFormat="1" ht="27" x14ac:dyDescent="0.3">
      <c r="B125" s="45" t="s">
        <v>56</v>
      </c>
      <c r="C125" s="45">
        <v>27</v>
      </c>
      <c r="D125" s="127" t="str">
        <f t="shared" ref="D125" si="12" xml:space="preserve"> IF(C125="","",setValueToTime(C125))</f>
        <v>2h 15 min</v>
      </c>
      <c r="E125" s="170" t="s">
        <v>181</v>
      </c>
      <c r="F125" s="232" t="s">
        <v>172</v>
      </c>
      <c r="G125" s="233"/>
      <c r="H125" s="152"/>
    </row>
    <row r="126" spans="2:8" s="43" customFormat="1" x14ac:dyDescent="0.3">
      <c r="B126" s="44"/>
      <c r="C126" s="45"/>
      <c r="D126" s="126" t="str">
        <f t="shared" ref="D126:D131" si="13" xml:space="preserve"> IF(C126="","",setValueToTime(C126))</f>
        <v/>
      </c>
      <c r="E126" s="46"/>
      <c r="F126" s="222"/>
      <c r="G126" s="223"/>
      <c r="H126" s="152"/>
    </row>
    <row r="127" spans="2:8" s="43" customFormat="1" x14ac:dyDescent="0.3">
      <c r="B127" s="44"/>
      <c r="C127" s="45"/>
      <c r="D127" s="126" t="str">
        <f t="shared" si="13"/>
        <v/>
      </c>
      <c r="E127" s="46"/>
      <c r="F127" s="222"/>
      <c r="G127" s="223"/>
      <c r="H127" s="152"/>
    </row>
    <row r="128" spans="2:8" s="43" customFormat="1" x14ac:dyDescent="0.3">
      <c r="B128" s="44"/>
      <c r="C128" s="45"/>
      <c r="D128" s="126" t="str">
        <f t="shared" si="13"/>
        <v/>
      </c>
      <c r="E128" s="46"/>
      <c r="F128" s="222"/>
      <c r="G128" s="223"/>
      <c r="H128" s="152"/>
    </row>
    <row r="129" spans="2:8" s="43" customFormat="1" x14ac:dyDescent="0.3">
      <c r="B129" s="45"/>
      <c r="C129" s="45"/>
      <c r="D129" s="127" t="str">
        <f t="shared" si="13"/>
        <v/>
      </c>
      <c r="E129" s="46"/>
      <c r="F129" s="222"/>
      <c r="G129" s="223"/>
      <c r="H129" s="152"/>
    </row>
    <row r="130" spans="2:8" s="43" customFormat="1" x14ac:dyDescent="0.3">
      <c r="B130" s="45"/>
      <c r="C130" s="45"/>
      <c r="D130" s="127" t="str">
        <f t="shared" si="13"/>
        <v/>
      </c>
      <c r="E130" s="46"/>
      <c r="F130" s="222"/>
      <c r="G130" s="223"/>
      <c r="H130" s="152"/>
    </row>
    <row r="131" spans="2:8" s="43" customFormat="1" x14ac:dyDescent="0.3">
      <c r="B131" s="45"/>
      <c r="C131" s="45"/>
      <c r="D131" s="127" t="str">
        <f t="shared" si="13"/>
        <v/>
      </c>
      <c r="E131" s="46"/>
      <c r="F131" s="222"/>
      <c r="G131" s="223"/>
      <c r="H131" s="152"/>
    </row>
    <row r="132" spans="2:8" s="43" customFormat="1" ht="27.75" thickBot="1" x14ac:dyDescent="0.35">
      <c r="B132" s="47" t="s">
        <v>41</v>
      </c>
      <c r="C132" s="47">
        <v>1</v>
      </c>
      <c r="D132" s="128" t="s">
        <v>72</v>
      </c>
      <c r="E132" s="48" t="s">
        <v>73</v>
      </c>
      <c r="F132" s="226"/>
      <c r="G132" s="227"/>
      <c r="H132" s="152"/>
    </row>
    <row r="133" spans="2:8" s="43" customFormat="1" ht="15" thickBot="1" x14ac:dyDescent="0.35">
      <c r="B133" s="135" t="s">
        <v>25</v>
      </c>
      <c r="C133" s="66">
        <f>SUM(C125:C132)</f>
        <v>28</v>
      </c>
      <c r="D133" s="135" t="str">
        <f xml:space="preserve"> setValueToTime(C133)</f>
        <v>2h 20 min</v>
      </c>
      <c r="E133" s="96"/>
      <c r="F133" s="228"/>
      <c r="G133" s="229"/>
      <c r="H133" s="152"/>
    </row>
    <row r="134" spans="2:8" s="43" customFormat="1" ht="15" thickBot="1" x14ac:dyDescent="0.35">
      <c r="B134" s="60"/>
      <c r="C134" s="60"/>
      <c r="D134" s="60"/>
      <c r="E134" s="60"/>
      <c r="F134" s="60"/>
      <c r="G134" s="60"/>
      <c r="H134" s="152"/>
    </row>
    <row r="135" spans="2:8" s="39" customFormat="1" ht="30" customHeight="1" thickBot="1" x14ac:dyDescent="0.3">
      <c r="B135" s="129" t="s">
        <v>10</v>
      </c>
      <c r="C135" s="137">
        <v>3</v>
      </c>
      <c r="D135" s="137"/>
      <c r="E135" s="130" t="s">
        <v>13</v>
      </c>
      <c r="F135" s="131" t="s">
        <v>127</v>
      </c>
      <c r="G135" s="132" t="s">
        <v>74</v>
      </c>
      <c r="H135" s="151"/>
    </row>
    <row r="136" spans="2:8" s="39" customFormat="1" ht="30" customHeight="1" thickBot="1" x14ac:dyDescent="0.3">
      <c r="B136" s="61" t="s">
        <v>4</v>
      </c>
      <c r="C136" s="134" t="s">
        <v>35</v>
      </c>
      <c r="D136" s="133"/>
      <c r="E136" s="61" t="s">
        <v>11</v>
      </c>
      <c r="F136" s="230" t="s">
        <v>12</v>
      </c>
      <c r="G136" s="231"/>
      <c r="H136" s="151"/>
    </row>
    <row r="137" spans="2:8" s="43" customFormat="1" x14ac:dyDescent="0.3">
      <c r="B137" s="40" t="s">
        <v>42</v>
      </c>
      <c r="C137" s="41">
        <v>20</v>
      </c>
      <c r="D137" s="125" t="str">
        <f xml:space="preserve"> IF(C137="","",setValueToTime(C137))</f>
        <v>1h 40 min</v>
      </c>
      <c r="E137" s="173" t="s">
        <v>169</v>
      </c>
      <c r="F137" s="220"/>
      <c r="G137" s="221"/>
      <c r="H137" s="152"/>
    </row>
    <row r="138" spans="2:8" s="43" customFormat="1" ht="27" x14ac:dyDescent="0.3">
      <c r="B138" s="44" t="s">
        <v>49</v>
      </c>
      <c r="C138" s="45">
        <v>10</v>
      </c>
      <c r="D138" s="126" t="str">
        <f t="shared" ref="D138:D144" si="14" xml:space="preserve"> IF(C138="","",setValueToTime(C138))</f>
        <v xml:space="preserve"> 50 min</v>
      </c>
      <c r="E138" s="170" t="s">
        <v>183</v>
      </c>
      <c r="F138" s="234" t="s">
        <v>170</v>
      </c>
      <c r="G138" s="235"/>
      <c r="H138" s="152"/>
    </row>
    <row r="139" spans="2:8" s="43" customFormat="1" ht="54" x14ac:dyDescent="0.3">
      <c r="B139" s="44" t="s">
        <v>57</v>
      </c>
      <c r="C139" s="45">
        <v>6</v>
      </c>
      <c r="D139" s="126" t="str">
        <f t="shared" si="14"/>
        <v xml:space="preserve"> 30 min</v>
      </c>
      <c r="E139" s="170" t="s">
        <v>179</v>
      </c>
      <c r="F139" s="222"/>
      <c r="G139" s="223"/>
      <c r="H139" s="152"/>
    </row>
    <row r="140" spans="2:8" s="43" customFormat="1" ht="41.25" thickBot="1" x14ac:dyDescent="0.35">
      <c r="B140" s="44" t="s">
        <v>46</v>
      </c>
      <c r="C140" s="45">
        <v>6</v>
      </c>
      <c r="D140" s="126" t="str">
        <f t="shared" si="14"/>
        <v xml:space="preserve"> 30 min</v>
      </c>
      <c r="E140" s="170" t="s">
        <v>171</v>
      </c>
      <c r="F140" s="222"/>
      <c r="G140" s="223"/>
      <c r="H140" s="152"/>
    </row>
    <row r="141" spans="2:8" s="43" customFormat="1" ht="27" x14ac:dyDescent="0.3">
      <c r="B141" s="45" t="s">
        <v>56</v>
      </c>
      <c r="C141" s="45">
        <v>5</v>
      </c>
      <c r="D141" s="127" t="str">
        <f t="shared" si="14"/>
        <v xml:space="preserve"> 25 min</v>
      </c>
      <c r="E141" s="170" t="s">
        <v>180</v>
      </c>
      <c r="F141" s="232" t="s">
        <v>172</v>
      </c>
      <c r="G141" s="233"/>
      <c r="H141" s="152"/>
    </row>
    <row r="142" spans="2:8" s="43" customFormat="1" x14ac:dyDescent="0.3">
      <c r="B142" s="45"/>
      <c r="C142" s="45"/>
      <c r="D142" s="127" t="str">
        <f t="shared" si="14"/>
        <v/>
      </c>
      <c r="E142" s="46"/>
      <c r="F142" s="222"/>
      <c r="G142" s="223"/>
      <c r="H142" s="152"/>
    </row>
    <row r="143" spans="2:8" s="43" customFormat="1" x14ac:dyDescent="0.3">
      <c r="B143" s="45"/>
      <c r="C143" s="45"/>
      <c r="D143" s="127" t="str">
        <f t="shared" si="14"/>
        <v/>
      </c>
      <c r="E143" s="46"/>
      <c r="F143" s="222"/>
      <c r="G143" s="223"/>
      <c r="H143" s="152"/>
    </row>
    <row r="144" spans="2:8" s="43" customFormat="1" ht="27.75" thickBot="1" x14ac:dyDescent="0.35">
      <c r="B144" s="47" t="s">
        <v>41</v>
      </c>
      <c r="C144" s="47">
        <v>1</v>
      </c>
      <c r="D144" s="128" t="str">
        <f t="shared" si="14"/>
        <v xml:space="preserve"> 5 min</v>
      </c>
      <c r="E144" s="48" t="s">
        <v>73</v>
      </c>
      <c r="F144" s="226"/>
      <c r="G144" s="227"/>
      <c r="H144" s="152"/>
    </row>
    <row r="145" spans="2:8" s="43" customFormat="1" ht="15" thickBot="1" x14ac:dyDescent="0.35">
      <c r="B145" s="135" t="s">
        <v>25</v>
      </c>
      <c r="C145" s="66">
        <f>SUM(C137:C144)</f>
        <v>48</v>
      </c>
      <c r="D145" s="135" t="str">
        <f xml:space="preserve"> setValueToTime(C145)</f>
        <v>4h</v>
      </c>
      <c r="E145" s="96"/>
      <c r="F145" s="228"/>
      <c r="G145" s="229"/>
      <c r="H145" s="152"/>
    </row>
    <row r="146" spans="2:8" s="43" customFormat="1" ht="15" thickBot="1" x14ac:dyDescent="0.35">
      <c r="B146" s="60"/>
      <c r="C146" s="60"/>
      <c r="D146" s="60"/>
      <c r="E146" s="60"/>
      <c r="F146" s="60"/>
      <c r="G146" s="60"/>
      <c r="H146" s="152"/>
    </row>
    <row r="147" spans="2:8" s="39" customFormat="1" ht="30" customHeight="1" thickBot="1" x14ac:dyDescent="0.3">
      <c r="B147" s="129" t="s">
        <v>10</v>
      </c>
      <c r="C147" s="137">
        <v>2</v>
      </c>
      <c r="D147" s="137"/>
      <c r="E147" s="130" t="s">
        <v>13</v>
      </c>
      <c r="F147" s="131" t="s">
        <v>77</v>
      </c>
      <c r="G147" s="132" t="s">
        <v>76</v>
      </c>
      <c r="H147" s="151"/>
    </row>
    <row r="148" spans="2:8" s="39" customFormat="1" ht="30" customHeight="1" thickBot="1" x14ac:dyDescent="0.3">
      <c r="B148" s="61" t="s">
        <v>4</v>
      </c>
      <c r="C148" s="134" t="s">
        <v>35</v>
      </c>
      <c r="D148" s="133"/>
      <c r="E148" s="61" t="s">
        <v>11</v>
      </c>
      <c r="F148" s="230" t="s">
        <v>12</v>
      </c>
      <c r="G148" s="231"/>
      <c r="H148" s="151"/>
    </row>
    <row r="149" spans="2:8" s="43" customFormat="1" ht="27" x14ac:dyDescent="0.3">
      <c r="B149" s="40" t="s">
        <v>43</v>
      </c>
      <c r="C149" s="41">
        <v>3</v>
      </c>
      <c r="D149" s="125" t="str">
        <f xml:space="preserve"> IF(C149="","",setValueToTime(C149))</f>
        <v xml:space="preserve"> 15 min</v>
      </c>
      <c r="E149" s="173" t="s">
        <v>177</v>
      </c>
      <c r="F149" s="220"/>
      <c r="G149" s="221"/>
      <c r="H149" s="152"/>
    </row>
    <row r="150" spans="2:8" s="43" customFormat="1" ht="27" x14ac:dyDescent="0.3">
      <c r="B150" s="44" t="s">
        <v>41</v>
      </c>
      <c r="C150" s="45">
        <v>2</v>
      </c>
      <c r="D150" s="126" t="str">
        <f t="shared" ref="D150:D156" si="15" xml:space="preserve"> IF(C150="","",setValueToTime(C150))</f>
        <v xml:space="preserve"> 10 min</v>
      </c>
      <c r="E150" s="46" t="s">
        <v>128</v>
      </c>
      <c r="F150" s="222"/>
      <c r="G150" s="223"/>
      <c r="H150" s="152"/>
    </row>
    <row r="151" spans="2:8" s="43" customFormat="1" ht="27" x14ac:dyDescent="0.3">
      <c r="B151" s="44" t="s">
        <v>48</v>
      </c>
      <c r="C151" s="45">
        <v>22</v>
      </c>
      <c r="D151" s="126" t="str">
        <f t="shared" si="15"/>
        <v>1h 50 min</v>
      </c>
      <c r="E151" s="170" t="s">
        <v>178</v>
      </c>
      <c r="F151" s="222"/>
      <c r="G151" s="223"/>
      <c r="H151" s="152"/>
    </row>
    <row r="152" spans="2:8" s="43" customFormat="1" x14ac:dyDescent="0.3">
      <c r="B152" s="44"/>
      <c r="C152" s="45"/>
      <c r="D152" s="126" t="str">
        <f t="shared" si="15"/>
        <v/>
      </c>
      <c r="E152" s="46"/>
      <c r="F152" s="222"/>
      <c r="G152" s="223"/>
      <c r="H152" s="152"/>
    </row>
    <row r="153" spans="2:8" s="43" customFormat="1" x14ac:dyDescent="0.3">
      <c r="B153" s="45"/>
      <c r="C153" s="45"/>
      <c r="D153" s="127" t="str">
        <f t="shared" si="15"/>
        <v/>
      </c>
      <c r="E153" s="46"/>
      <c r="F153" s="222"/>
      <c r="G153" s="223"/>
      <c r="H153" s="152"/>
    </row>
    <row r="154" spans="2:8" s="43" customFormat="1" x14ac:dyDescent="0.3">
      <c r="B154" s="45"/>
      <c r="C154" s="45"/>
      <c r="D154" s="127" t="str">
        <f t="shared" si="15"/>
        <v/>
      </c>
      <c r="E154" s="46"/>
      <c r="F154" s="222"/>
      <c r="G154" s="223"/>
      <c r="H154" s="152"/>
    </row>
    <row r="155" spans="2:8" s="43" customFormat="1" x14ac:dyDescent="0.3">
      <c r="B155" s="45"/>
      <c r="C155" s="45"/>
      <c r="D155" s="127" t="str">
        <f t="shared" si="15"/>
        <v/>
      </c>
      <c r="E155" s="46"/>
      <c r="F155" s="222"/>
      <c r="G155" s="223"/>
      <c r="H155" s="152"/>
    </row>
    <row r="156" spans="2:8" s="43" customFormat="1" ht="27.75" thickBot="1" x14ac:dyDescent="0.35">
      <c r="B156" s="47" t="s">
        <v>41</v>
      </c>
      <c r="C156" s="47">
        <v>1</v>
      </c>
      <c r="D156" s="128" t="str">
        <f t="shared" si="15"/>
        <v xml:space="preserve"> 5 min</v>
      </c>
      <c r="E156" s="48" t="s">
        <v>73</v>
      </c>
      <c r="F156" s="226"/>
      <c r="G156" s="227"/>
      <c r="H156" s="152"/>
    </row>
    <row r="157" spans="2:8" s="43" customFormat="1" ht="15" thickBot="1" x14ac:dyDescent="0.35">
      <c r="B157" s="135" t="s">
        <v>25</v>
      </c>
      <c r="C157" s="66">
        <f>SUM(C149:C156)</f>
        <v>28</v>
      </c>
      <c r="D157" s="135" t="str">
        <f xml:space="preserve"> setValueToTime(C157)</f>
        <v>2h 20 min</v>
      </c>
      <c r="E157" s="96"/>
      <c r="F157" s="228"/>
      <c r="G157" s="229"/>
      <c r="H157" s="152"/>
    </row>
    <row r="158" spans="2:8" s="43" customFormat="1" ht="15" thickBot="1" x14ac:dyDescent="0.35">
      <c r="B158" s="60"/>
      <c r="C158" s="60"/>
      <c r="D158" s="60"/>
      <c r="E158" s="60"/>
      <c r="F158" s="60"/>
      <c r="G158" s="60"/>
      <c r="H158" s="152"/>
    </row>
    <row r="159" spans="2:8" s="39" customFormat="1" ht="30" customHeight="1" thickBot="1" x14ac:dyDescent="0.3">
      <c r="B159" s="129" t="s">
        <v>10</v>
      </c>
      <c r="C159" s="137">
        <v>1</v>
      </c>
      <c r="D159" s="137"/>
      <c r="E159" s="130" t="s">
        <v>13</v>
      </c>
      <c r="F159" s="131" t="s">
        <v>77</v>
      </c>
      <c r="G159" s="132" t="s">
        <v>74</v>
      </c>
      <c r="H159" s="151"/>
    </row>
    <row r="160" spans="2:8" s="39" customFormat="1" ht="30" customHeight="1" thickBot="1" x14ac:dyDescent="0.3">
      <c r="B160" s="61" t="s">
        <v>4</v>
      </c>
      <c r="C160" s="134" t="s">
        <v>35</v>
      </c>
      <c r="D160" s="133"/>
      <c r="E160" s="61" t="s">
        <v>11</v>
      </c>
      <c r="F160" s="230" t="s">
        <v>12</v>
      </c>
      <c r="G160" s="231"/>
      <c r="H160" s="151"/>
    </row>
    <row r="161" spans="2:8" s="43" customFormat="1" x14ac:dyDescent="0.3">
      <c r="B161" s="40" t="s">
        <v>44</v>
      </c>
      <c r="C161" s="41">
        <v>12</v>
      </c>
      <c r="D161" s="126" t="str">
        <f t="shared" ref="D161:D168" si="16" xml:space="preserve"> IF(C161="","",setValueToTime(C161))</f>
        <v>1h</v>
      </c>
      <c r="E161" s="173" t="s">
        <v>175</v>
      </c>
      <c r="F161" s="220"/>
      <c r="G161" s="221"/>
      <c r="H161" s="152"/>
    </row>
    <row r="162" spans="2:8" s="43" customFormat="1" ht="27" x14ac:dyDescent="0.3">
      <c r="B162" s="44" t="s">
        <v>43</v>
      </c>
      <c r="C162" s="45">
        <v>5</v>
      </c>
      <c r="D162" s="126" t="str">
        <f t="shared" si="16"/>
        <v xml:space="preserve"> 25 min</v>
      </c>
      <c r="E162" s="170" t="s">
        <v>176</v>
      </c>
      <c r="F162" s="222"/>
      <c r="G162" s="223"/>
      <c r="H162" s="152"/>
    </row>
    <row r="163" spans="2:8" s="43" customFormat="1" ht="27" x14ac:dyDescent="0.3">
      <c r="B163" s="44" t="s">
        <v>47</v>
      </c>
      <c r="C163" s="45">
        <v>6</v>
      </c>
      <c r="D163" s="126" t="str">
        <f t="shared" si="16"/>
        <v xml:space="preserve"> 30 min</v>
      </c>
      <c r="E163" s="170" t="s">
        <v>173</v>
      </c>
      <c r="F163" s="222"/>
      <c r="G163" s="223"/>
      <c r="H163" s="152"/>
    </row>
    <row r="164" spans="2:8" s="43" customFormat="1" ht="27" x14ac:dyDescent="0.3">
      <c r="B164" s="44" t="s">
        <v>48</v>
      </c>
      <c r="C164" s="45">
        <v>24</v>
      </c>
      <c r="D164" s="126" t="str">
        <f t="shared" si="16"/>
        <v>2h</v>
      </c>
      <c r="E164" s="170" t="s">
        <v>174</v>
      </c>
      <c r="F164" s="222"/>
      <c r="G164" s="223"/>
      <c r="H164" s="152"/>
    </row>
    <row r="165" spans="2:8" s="43" customFormat="1" x14ac:dyDescent="0.3">
      <c r="B165" s="45"/>
      <c r="C165" s="45"/>
      <c r="D165" s="126" t="str">
        <f t="shared" si="16"/>
        <v/>
      </c>
      <c r="E165" s="46"/>
      <c r="F165" s="222"/>
      <c r="G165" s="223"/>
      <c r="H165" s="152"/>
    </row>
    <row r="166" spans="2:8" s="43" customFormat="1" x14ac:dyDescent="0.3">
      <c r="B166" s="45"/>
      <c r="C166" s="45"/>
      <c r="D166" s="126" t="str">
        <f t="shared" si="16"/>
        <v/>
      </c>
      <c r="E166" s="46"/>
      <c r="F166" s="222"/>
      <c r="G166" s="223"/>
      <c r="H166" s="152"/>
    </row>
    <row r="167" spans="2:8" s="43" customFormat="1" x14ac:dyDescent="0.3">
      <c r="B167" s="45"/>
      <c r="C167" s="45"/>
      <c r="D167" s="126" t="str">
        <f t="shared" si="16"/>
        <v/>
      </c>
      <c r="E167" s="46"/>
      <c r="F167" s="222"/>
      <c r="G167" s="223"/>
      <c r="H167" s="152"/>
    </row>
    <row r="168" spans="2:8" s="43" customFormat="1" ht="27.75" thickBot="1" x14ac:dyDescent="0.35">
      <c r="B168" s="47" t="s">
        <v>41</v>
      </c>
      <c r="C168" s="47">
        <v>1</v>
      </c>
      <c r="D168" s="126" t="str">
        <f t="shared" si="16"/>
        <v xml:space="preserve"> 5 min</v>
      </c>
      <c r="E168" s="48" t="s">
        <v>73</v>
      </c>
      <c r="F168" s="226"/>
      <c r="G168" s="227"/>
      <c r="H168" s="152"/>
    </row>
    <row r="169" spans="2:8" s="43" customFormat="1" ht="15" thickBot="1" x14ac:dyDescent="0.35">
      <c r="B169" s="135" t="s">
        <v>25</v>
      </c>
      <c r="C169" s="66">
        <f>SUM(C161:C168)</f>
        <v>48</v>
      </c>
      <c r="D169" s="135" t="str">
        <f xml:space="preserve"> setValueToTime(C169)</f>
        <v>4h</v>
      </c>
      <c r="E169" s="96"/>
      <c r="F169" s="228"/>
      <c r="G169" s="229"/>
      <c r="H169" s="152"/>
    </row>
    <row r="170" spans="2:8" s="43" customFormat="1" x14ac:dyDescent="0.3">
      <c r="B170" s="60"/>
      <c r="C170" s="60"/>
      <c r="D170" s="60"/>
      <c r="E170" s="60"/>
      <c r="F170" s="60"/>
      <c r="G170" s="60"/>
      <c r="H170" s="152"/>
    </row>
  </sheetData>
  <sheetProtection formatRows="0" insertRows="0" insertHyperlinks="0" deleteRows="0" selectLockedCells="1"/>
  <mergeCells count="140">
    <mergeCell ref="F39:G39"/>
    <mergeCell ref="F40:G40"/>
    <mergeCell ref="F41:G41"/>
    <mergeCell ref="F42:G42"/>
    <mergeCell ref="F43:G43"/>
    <mergeCell ref="F3:G3"/>
    <mergeCell ref="F4:G4"/>
    <mergeCell ref="F5:G5"/>
    <mergeCell ref="F6:G6"/>
    <mergeCell ref="F7:G7"/>
    <mergeCell ref="F8:G8"/>
    <mergeCell ref="F9:G9"/>
    <mergeCell ref="F10:G10"/>
    <mergeCell ref="F11:G11"/>
    <mergeCell ref="F12:G12"/>
    <mergeCell ref="F60:G60"/>
    <mergeCell ref="F51:G51"/>
    <mergeCell ref="F52:G52"/>
    <mergeCell ref="F53:G53"/>
    <mergeCell ref="F54:G54"/>
    <mergeCell ref="F55:G55"/>
    <mergeCell ref="F44:G44"/>
    <mergeCell ref="F45:G45"/>
    <mergeCell ref="F46:G46"/>
    <mergeCell ref="F47:G47"/>
    <mergeCell ref="F48:G48"/>
    <mergeCell ref="F94:G94"/>
    <mergeCell ref="F95:G95"/>
    <mergeCell ref="F96:G96"/>
    <mergeCell ref="F97:G97"/>
    <mergeCell ref="F113:G113"/>
    <mergeCell ref="F114:G114"/>
    <mergeCell ref="F115:G115"/>
    <mergeCell ref="F116:G116"/>
    <mergeCell ref="F117:G117"/>
    <mergeCell ref="F100:G100"/>
    <mergeCell ref="F101:G101"/>
    <mergeCell ref="F102:G102"/>
    <mergeCell ref="F103:G103"/>
    <mergeCell ref="F104:G104"/>
    <mergeCell ref="F105:G105"/>
    <mergeCell ref="F106:G106"/>
    <mergeCell ref="F169:G169"/>
    <mergeCell ref="F148:G148"/>
    <mergeCell ref="F149:G149"/>
    <mergeCell ref="F150:G150"/>
    <mergeCell ref="F151:G151"/>
    <mergeCell ref="F152:G152"/>
    <mergeCell ref="F153:G153"/>
    <mergeCell ref="F160:G160"/>
    <mergeCell ref="F161:G161"/>
    <mergeCell ref="F162:G162"/>
    <mergeCell ref="F163:G163"/>
    <mergeCell ref="F164:G164"/>
    <mergeCell ref="F165:G165"/>
    <mergeCell ref="F157:G157"/>
    <mergeCell ref="F166:G166"/>
    <mergeCell ref="F168:G168"/>
    <mergeCell ref="F167:G167"/>
    <mergeCell ref="F124:G124"/>
    <mergeCell ref="F125:G125"/>
    <mergeCell ref="F126:G126"/>
    <mergeCell ref="F127:G127"/>
    <mergeCell ref="F128:G128"/>
    <mergeCell ref="F129:G129"/>
    <mergeCell ref="F130:G130"/>
    <mergeCell ref="F131:G131"/>
    <mergeCell ref="F132:G132"/>
    <mergeCell ref="F133:G133"/>
    <mergeCell ref="F136:G136"/>
    <mergeCell ref="F137:G137"/>
    <mergeCell ref="F154:G154"/>
    <mergeCell ref="F155:G155"/>
    <mergeCell ref="F156:G156"/>
    <mergeCell ref="F141:G141"/>
    <mergeCell ref="F142:G142"/>
    <mergeCell ref="F143:G143"/>
    <mergeCell ref="F144:G144"/>
    <mergeCell ref="F145:G145"/>
    <mergeCell ref="F138:G138"/>
    <mergeCell ref="F139:G139"/>
    <mergeCell ref="F140:G140"/>
    <mergeCell ref="F107:G107"/>
    <mergeCell ref="F108:G108"/>
    <mergeCell ref="F109:G109"/>
    <mergeCell ref="F120:G120"/>
    <mergeCell ref="F121:G121"/>
    <mergeCell ref="F112:G112"/>
    <mergeCell ref="F75:G75"/>
    <mergeCell ref="F76:G76"/>
    <mergeCell ref="F77:G77"/>
    <mergeCell ref="F78:G78"/>
    <mergeCell ref="F79:G79"/>
    <mergeCell ref="F80:G80"/>
    <mergeCell ref="F81:G81"/>
    <mergeCell ref="F82:G82"/>
    <mergeCell ref="F83:G83"/>
    <mergeCell ref="F84:G84"/>
    <mergeCell ref="F118:G118"/>
    <mergeCell ref="F119:G119"/>
    <mergeCell ref="F87:G87"/>
    <mergeCell ref="F88:G88"/>
    <mergeCell ref="F89:G89"/>
    <mergeCell ref="F90:G90"/>
    <mergeCell ref="F91:G91"/>
    <mergeCell ref="F92:G92"/>
    <mergeCell ref="F72:G72"/>
    <mergeCell ref="F27:G27"/>
    <mergeCell ref="F28:G28"/>
    <mergeCell ref="F29:G29"/>
    <mergeCell ref="F30:G30"/>
    <mergeCell ref="F31:G31"/>
    <mergeCell ref="F32:G32"/>
    <mergeCell ref="F33:G33"/>
    <mergeCell ref="F34:G34"/>
    <mergeCell ref="F35:G35"/>
    <mergeCell ref="F36:G36"/>
    <mergeCell ref="F63:G63"/>
    <mergeCell ref="F64:G64"/>
    <mergeCell ref="F65:G65"/>
    <mergeCell ref="F66:G66"/>
    <mergeCell ref="F67:G67"/>
    <mergeCell ref="F68:G68"/>
    <mergeCell ref="F69:G69"/>
    <mergeCell ref="F70:G70"/>
    <mergeCell ref="F71:G71"/>
    <mergeCell ref="F56:G56"/>
    <mergeCell ref="F57:G57"/>
    <mergeCell ref="F58:G58"/>
    <mergeCell ref="F59:G59"/>
    <mergeCell ref="F24:G24"/>
    <mergeCell ref="F15:G15"/>
    <mergeCell ref="F16:G16"/>
    <mergeCell ref="F17:G17"/>
    <mergeCell ref="F18:G18"/>
    <mergeCell ref="F19:G19"/>
    <mergeCell ref="F20:G20"/>
    <mergeCell ref="F21:G21"/>
    <mergeCell ref="F22:G22"/>
    <mergeCell ref="F23:G23"/>
  </mergeCells>
  <phoneticPr fontId="0" type="noConversion"/>
  <conditionalFormatting sqref="C169">
    <cfRule type="cellIs" dxfId="15" priority="14" operator="greaterThan">
      <formula>60</formula>
    </cfRule>
  </conditionalFormatting>
  <conditionalFormatting sqref="C157">
    <cfRule type="cellIs" dxfId="14" priority="13" operator="greaterThan">
      <formula>60</formula>
    </cfRule>
  </conditionalFormatting>
  <conditionalFormatting sqref="C145">
    <cfRule type="cellIs" dxfId="13" priority="12" operator="greaterThan">
      <formula>60</formula>
    </cfRule>
  </conditionalFormatting>
  <conditionalFormatting sqref="C133">
    <cfRule type="cellIs" dxfId="12" priority="11" operator="greaterThan">
      <formula>60</formula>
    </cfRule>
  </conditionalFormatting>
  <conditionalFormatting sqref="C121">
    <cfRule type="cellIs" dxfId="11" priority="10" operator="greaterThan">
      <formula>60</formula>
    </cfRule>
  </conditionalFormatting>
  <conditionalFormatting sqref="C109">
    <cfRule type="cellIs" dxfId="10" priority="9" operator="greaterThan">
      <formula>60</formula>
    </cfRule>
  </conditionalFormatting>
  <conditionalFormatting sqref="C97">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61:C168 C149:C156 C137:C144 C125:C132 C113:C120 C101:C108 C88:C96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69 C157 C145 C133 C121 C109 C97 C84 C72 C60 C48 C36 C24 C12" xr:uid="{50F9C946-D507-4D8E-9BFE-2DF270D6B689}">
      <formula1>0</formula1>
      <formula2>60</formula2>
    </dataValidation>
  </dataValidations>
  <hyperlinks>
    <hyperlink ref="F138:G138" r:id="rId1" display="KuriMedia.drawio" xr:uid="{30CF5B93-8711-49BC-B1E6-2A4892A0D3CD}"/>
    <hyperlink ref="F125:G125" r:id="rId2" display="Longueurs des noms basés sur la norme RFC 3696" xr:uid="{7D17D05A-CE6C-4B1B-873F-FF516E25090A}"/>
    <hyperlink ref="F141:G141" r:id="rId3" display="Longueurs des noms basés sur la norme RFC 3696" xr:uid="{AE654F0B-E113-4001-A69C-1354D2137971}"/>
    <hyperlink ref="F101:G101" r:id="rId4" display="Maquette sur Figma" xr:uid="{72E1797D-48A0-4DD5-9D27-81FC16CF5873}"/>
    <hyperlink ref="F28:G28" r:id="rId5" display="Site de FontAwesome" xr:uid="{B53A6903-78CA-4D2D-A3EA-4DE205470C05}"/>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6"/>
  <headerFooter alignWithMargins="0">
    <oddHeader>&amp;L&amp;"ETML,Normal"&amp;14ETML&amp;R&amp;14&amp;USection Informatique</oddHeader>
    <oddFooter>&amp;L&amp;14&amp;D - GGZ&amp;C&amp;14&amp;F - &amp;A&amp;R&amp;14&amp;P/&amp;N</oddFooter>
  </headerFooter>
  <rowBreaks count="6" manualBreakCount="6">
    <brk id="25" min="1" max="6" man="1"/>
    <brk id="49" min="1" max="6" man="1"/>
    <brk id="73" min="1" max="6" man="1"/>
    <brk id="98" min="1" max="6" man="1"/>
    <brk id="122" min="1" max="6" man="1"/>
    <brk id="146" min="1" max="6" man="1"/>
  </rowBreaks>
  <colBreaks count="1" manualBreakCount="1">
    <brk id="4" min="1" max="169" man="1"/>
  </colBreaks>
  <drawing r:id="rId7"/>
  <legacyDrawing r:id="rId8"/>
  <controls>
    <mc:AlternateContent xmlns:mc="http://schemas.openxmlformats.org/markup-compatibility/2006">
      <mc:Choice Requires="x14">
        <control shapeId="9220" r:id="rId9" name="btnAjoutSeqJournal">
          <controlPr defaultSize="0" autoLine="0" r:id="rId10">
            <anchor moveWithCells="1">
              <from>
                <xdr:col>3</xdr:col>
                <xdr:colOff>85725</xdr:colOff>
                <xdr:row>0</xdr:row>
                <xdr:rowOff>85725</xdr:rowOff>
              </from>
              <to>
                <xdr:col>4</xdr:col>
                <xdr:colOff>762000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1</xdr:col>
                <xdr:colOff>104775</xdr:colOff>
                <xdr:row>0</xdr:row>
                <xdr:rowOff>85725</xdr:rowOff>
              </from>
              <to>
                <xdr:col>2</xdr:col>
                <xdr:colOff>457200</xdr:colOff>
                <xdr:row>0</xdr:row>
                <xdr:rowOff>552450</xdr:rowOff>
              </to>
            </anchor>
          </controlPr>
        </control>
      </mc:Choice>
      <mc:Fallback>
        <control shapeId="9224" r:id="rId11"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B161:B168 B149:B156 B137:B144 B125:B132 B113:B120 B101:B108 B88:B96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73"/>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73"/>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73"/>
    </row>
    <row r="13" spans="1:61" ht="18.75" thickBot="1" x14ac:dyDescent="0.3">
      <c r="A13" s="188" t="s">
        <v>10</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73"/>
    </row>
    <row r="14" spans="1:61" ht="15.75" thickBot="1" x14ac:dyDescent="0.35">
      <c r="A14" s="81"/>
      <c r="B14" s="82"/>
      <c r="C14" s="82"/>
      <c r="D14" s="82"/>
      <c r="E14" s="191" t="s">
        <v>29</v>
      </c>
      <c r="F14" s="191"/>
      <c r="G14" s="191"/>
      <c r="H14" s="191"/>
      <c r="I14" s="82"/>
      <c r="J14" s="82"/>
      <c r="K14" s="192" t="s">
        <v>20</v>
      </c>
      <c r="L14" s="192"/>
      <c r="M14" s="192"/>
      <c r="N14" s="192"/>
      <c r="O14" s="102"/>
      <c r="P14" s="102"/>
      <c r="Q14" s="191" t="s">
        <v>30</v>
      </c>
      <c r="R14" s="191"/>
      <c r="S14" s="191"/>
      <c r="T14" s="191"/>
      <c r="U14" s="82"/>
      <c r="V14" s="82"/>
      <c r="W14" s="192" t="s">
        <v>21</v>
      </c>
      <c r="X14" s="192"/>
      <c r="Y14" s="192"/>
      <c r="Z14" s="192"/>
      <c r="AA14" s="102"/>
      <c r="AB14" s="102"/>
      <c r="AC14" s="191" t="s">
        <v>31</v>
      </c>
      <c r="AD14" s="191"/>
      <c r="AE14" s="191"/>
      <c r="AF14" s="191"/>
      <c r="AG14" s="82"/>
      <c r="AH14" s="82"/>
      <c r="AI14" s="192" t="s">
        <v>22</v>
      </c>
      <c r="AJ14" s="192"/>
      <c r="AK14" s="192"/>
      <c r="AL14" s="192"/>
      <c r="AM14" s="102"/>
      <c r="AN14" s="102"/>
      <c r="AO14" s="191" t="s">
        <v>32</v>
      </c>
      <c r="AP14" s="191"/>
      <c r="AQ14" s="191"/>
      <c r="AR14" s="191"/>
      <c r="AS14" s="82"/>
      <c r="AT14" s="82"/>
      <c r="AU14" s="192" t="s">
        <v>23</v>
      </c>
      <c r="AV14" s="192"/>
      <c r="AW14" s="192"/>
      <c r="AX14" s="192"/>
      <c r="AY14" s="102"/>
      <c r="AZ14" s="102"/>
      <c r="BA14" s="191" t="s">
        <v>33</v>
      </c>
      <c r="BB14" s="191"/>
      <c r="BC14" s="191"/>
      <c r="BD14" s="191"/>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8" t="s">
        <v>12</v>
      </c>
      <c r="G2" s="219"/>
      <c r="H2" s="151"/>
    </row>
    <row r="3" spans="2:8" s="43" customFormat="1" x14ac:dyDescent="0.3">
      <c r="B3" s="40" t="s">
        <v>37</v>
      </c>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7" t="str">
        <f t="shared" si="0"/>
        <v/>
      </c>
      <c r="E7" s="46"/>
      <c r="F7" s="222"/>
      <c r="G7" s="223"/>
      <c r="H7" s="152"/>
    </row>
    <row r="8" spans="2:8" s="43" customFormat="1" x14ac:dyDescent="0.3">
      <c r="B8" s="44"/>
      <c r="C8" s="45"/>
      <c r="D8" s="127" t="str">
        <f t="shared" si="0"/>
        <v/>
      </c>
      <c r="E8" s="46"/>
      <c r="F8" s="222"/>
      <c r="G8" s="223"/>
      <c r="H8" s="152"/>
    </row>
    <row r="9" spans="2:8" s="43" customFormat="1" x14ac:dyDescent="0.3">
      <c r="B9" s="44"/>
      <c r="C9" s="45"/>
      <c r="D9" s="127" t="str">
        <f t="shared" si="0"/>
        <v/>
      </c>
      <c r="E9" s="46"/>
      <c r="F9" s="222"/>
      <c r="G9" s="223"/>
      <c r="H9" s="152"/>
    </row>
    <row r="10" spans="2:8" s="43" customFormat="1" ht="15" thickBot="1" x14ac:dyDescent="0.35">
      <c r="B10" s="44"/>
      <c r="C10" s="47"/>
      <c r="D10" s="128" t="str">
        <f t="shared" si="0"/>
        <v/>
      </c>
      <c r="E10" s="48"/>
      <c r="F10" s="226"/>
      <c r="G10" s="227"/>
      <c r="H10" s="152"/>
    </row>
    <row r="11" spans="2:8" s="43" customFormat="1" ht="15" thickBot="1" x14ac:dyDescent="0.35">
      <c r="B11" s="86" t="s">
        <v>25</v>
      </c>
      <c r="C11" s="67">
        <f>SUM(C3:C10)</f>
        <v>0</v>
      </c>
      <c r="D11" s="86" t="str">
        <f xml:space="preserve"> setValueToTime(C11)</f>
        <v/>
      </c>
      <c r="E11" s="95"/>
      <c r="F11" s="224"/>
      <c r="G11" s="225"/>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30" t="s">
        <v>12</v>
      </c>
      <c r="G2" s="231"/>
      <c r="H2" s="151"/>
    </row>
    <row r="3" spans="2:8" s="43" customFormat="1" x14ac:dyDescent="0.3">
      <c r="B3" s="40"/>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5"/>
      <c r="C7" s="45"/>
      <c r="D7" s="127"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ht="15" thickBot="1" x14ac:dyDescent="0.35">
      <c r="B10" s="47"/>
      <c r="C10" s="47"/>
      <c r="D10" s="128" t="str">
        <f t="shared" si="0"/>
        <v/>
      </c>
      <c r="E10" s="48"/>
      <c r="F10" s="226"/>
      <c r="G10" s="227"/>
      <c r="H10" s="152"/>
    </row>
    <row r="11" spans="2:8" s="43" customFormat="1" ht="15" thickBot="1" x14ac:dyDescent="0.35">
      <c r="B11" s="135" t="s">
        <v>25</v>
      </c>
      <c r="C11" s="66">
        <f>SUM(C3:C10)</f>
        <v>0</v>
      </c>
      <c r="D11" s="135" t="str">
        <f xml:space="preserve"> setValueToTime(C11)</f>
        <v/>
      </c>
      <c r="E11" s="96"/>
      <c r="F11" s="228"/>
      <c r="G11" s="229"/>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2024-05-21T13:44:22Z</cp:lastPrinted>
  <dcterms:created xsi:type="dcterms:W3CDTF">1996-10-21T11:03:58Z</dcterms:created>
  <dcterms:modified xsi:type="dcterms:W3CDTF">2024-05-23T14:29:57Z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